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anand.I-TECH\Desktop\issues\Excel_testLink\Data\"/>
    </mc:Choice>
  </mc:AlternateContent>
  <bookViews>
    <workbookView xWindow="0" yWindow="0" windowWidth="28800" windowHeight="12210" activeTab="3" xr2:uid="{00000000-000D-0000-FFFF-FFFF00000000}"/>
  </bookViews>
  <sheets>
    <sheet name="Requirements" sheetId="1" r:id="rId1"/>
    <sheet name="4487" sheetId="3" state="hidden" r:id="rId2"/>
    <sheet name="4386" sheetId="2" state="hidden" r:id="rId3"/>
    <sheet name="TestCases" sheetId="4" r:id="rId4"/>
  </sheets>
  <definedNames>
    <definedName name="_xlnm._FilterDatabase" localSheetId="0" hidden="1">Requirements!#REF!</definedName>
  </definedNames>
  <calcPr calcId="171027"/>
</workbook>
</file>

<file path=xl/calcChain.xml><?xml version="1.0" encoding="utf-8"?>
<calcChain xmlns="http://schemas.openxmlformats.org/spreadsheetml/2006/main">
  <c r="I3" i="4" l="1"/>
  <c r="C3" i="4" l="1"/>
  <c r="I3" i="3" l="1"/>
  <c r="F3" i="3"/>
  <c r="C3" i="3"/>
  <c r="C3" i="1" l="1"/>
  <c r="C3" i="2"/>
  <c r="I3" i="2"/>
  <c r="F3" i="2"/>
</calcChain>
</file>

<file path=xl/sharedStrings.xml><?xml version="1.0" encoding="utf-8"?>
<sst xmlns="http://schemas.openxmlformats.org/spreadsheetml/2006/main" count="457" uniqueCount="177">
  <si>
    <t>DOCID</t>
  </si>
  <si>
    <t>TITLE</t>
  </si>
  <si>
    <t>DESCRIPTION</t>
  </si>
  <si>
    <t>Test Cases</t>
  </si>
  <si>
    <t>Requirements</t>
  </si>
  <si>
    <t>Name</t>
  </si>
  <si>
    <t>Summary</t>
  </si>
  <si>
    <t>Preconditions</t>
  </si>
  <si>
    <t>Steps</t>
  </si>
  <si>
    <t>Expected Results</t>
  </si>
  <si>
    <t>Importance</t>
  </si>
  <si>
    <t>Test Execution Type</t>
  </si>
  <si>
    <t>Step Execution Type</t>
  </si>
  <si>
    <t>CUST_TC</t>
  </si>
  <si>
    <t>STATUS</t>
  </si>
  <si>
    <t>TYPE</t>
  </si>
  <si>
    <t>EXPECTED COVERAGE</t>
  </si>
  <si>
    <t>D</t>
  </si>
  <si>
    <t>manual</t>
  </si>
  <si>
    <t>man</t>
  </si>
  <si>
    <t>Test Suite</t>
  </si>
  <si>
    <t>Details</t>
  </si>
  <si>
    <t>CUST_TS</t>
  </si>
  <si>
    <t>Title</t>
  </si>
  <si>
    <t>Scope</t>
  </si>
  <si>
    <t>Requirements Specification</t>
  </si>
  <si>
    <t>RSDID</t>
  </si>
  <si>
    <t>PAYER SPECIFIC - RENDERING PROVIDER NPI MUST DIFFERENT THAN THE BILLING PROVIDER NPI</t>
  </si>
  <si>
    <t>V3.5</t>
  </si>
  <si>
    <t xml:space="preserve">NEMSIS - 2.2.1 DMG </t>
  </si>
  <si>
    <t>Create Professional claim with Payer Railroad Medicare (SRRGA).</t>
  </si>
  <si>
    <t>If Service level NPI, Claim level NPI (Rendering Provider) and Billing Provider NPI are same, then in the EDI only Billing Provider NPI must be present.
EDI Segment: NM1*85*2*ACCOUNT NAME*****XX*1427255058</t>
  </si>
  <si>
    <t>If Service level NPI, Claim level NPI (Rendering Provider) and Billing Provider NPI are different, then in the EDI all the 3 (Service level NPI, Claim level NPI (Rendering Provider) and Billing Provider NPI) NPI must be present.
EDI Segment: 
Billing Provider -- NM1*85*2*ACCOUNT NAME*****XX*1427255058
Service level -- NM1*82*1*NEAL*MELVIN****XX*1538399811
Claim level -- NM1*82*1*MANGUM*SHENITA****XX*1972987972</t>
  </si>
  <si>
    <t xml:space="preserve">If Service level NPI, Claim level NPI (Rendering Provider) are same and Billing Provider NPI is different, then in the EDI Claim Level NPI and Billing Provider NPI must be present.
EDI Segment: 
Billing Provider -- NM1*85*2*ACCOUNT NAME*****XX*1427255058
Claim level -- NM1*82*1*NEAL*MELVIN****XX*1538399811
</t>
  </si>
  <si>
    <t xml:space="preserve">If Service level NPI is different, Claim level NPI (Rendering Provider) and Billing Provider NPI are same, then in the EDI Service Level NPI and Billing Provider NPI must be present.
EDI Segment: 
Billing Provider -- NM1*85*2*ACCOUNT NAME*****XX*1427255058
Service level -- NM1*82*1*NEAL*MELVIN****XX*1538399811
</t>
  </si>
  <si>
    <t xml:space="preserve">If Service level NPI, Billing Provider NPI are same and Claim level NPI (Rendering Provider) is different , then in the EDI Claim Level NPI and Billing Provider NPI must be present.
EDI Segment: 
Billing Provider -- NM1*85*2*ACCOUNT NAME*****XX*1427255058
Claim level -- NM1*82*1*NEAL*MELVIN****XX*1538399811
</t>
  </si>
  <si>
    <t>If Service level NPI (2 Service Line with same NPI), Claim level NPI (Rendering Provider) and Billing Provider NPI are same, then in the EDI only Billing Provider NPI must be present.
EDI Segment: NM1*85*2*ACCOUNT NAME*****XX*1427255058</t>
  </si>
  <si>
    <t>If Service level NPI (2 Service Line with same NPI), Claim level NPI (Rendering Provider) and Billing Provider NPI are different, then in the EDI all the 3 (Service level NPI, Claim level NPI (Rendering Provider) and Billing Provider NPI) NPI must be present.
EDI Segment: 
Billing Provider -- NM1*85*2*ACCOUNT NAME*****XX*1427255058
Service level1 -- NM1*82*1*NEAL*MELVIN****XX*1538399811
Service level2 -- NM1*82*1*NEAL*MELVIN****XX*1538399811
Claim level -- NM1*82*1*MANGUM*SHENITA****XX*1972987972</t>
  </si>
  <si>
    <t xml:space="preserve">If Service level NPI (2 Service Line with same NPI), Claim level NPI (Rendering Provider) are same and Billing Provider NPI is different, then in the EDI Claim Level NPI and Billing Provider NPI must be present.
EDI Segment: 
Billing Provider -- NM1*85*2*ACCOUNT NAME*****XX*1427255058
Claim level -- NM1*82*1*NEAL*MELVIN****XX*1538399811
</t>
  </si>
  <si>
    <t>If Service level NPI is different (2 Service Line with same NPI), Claim level NPI (Rendering Provider) and Billing Provider NPI are same, then in the EDI Service Level NPI and Billing Provider NPI must be present.
EDI Segment: 
Billing Provider -- NM1*85*2*ACCOUNT NAME*****XX*1427255058
Service level1 -- NM1*82*1*NEAL*MELVIN****XX*1538399811
Service level2 -- NM1*82*1*NEAL*MELVIN****XX*1538399811</t>
  </si>
  <si>
    <t xml:space="preserve">If Service level NPI (2 Service Line with same NPI), Billing Provider NPI are same and Claim level NPI (Rendering Provider) is different , then in the EDI Claim Level NPI and Billing Provider NPI must be present.
EDI Segment: 
Billing Provider -- NM1*85*2*ACCOUNT NAME*****XX*1427255058
Claim level -- NM1*82*1*NEAL*MELVIN****XX*1538399811
</t>
  </si>
  <si>
    <t>If Service level NPI (2 Service Line with different NPI), Claim level NPI (Rendering Provider) and Billing Provider NPI are same, then in the EDI only Billing Provider NPI must be present.
EDI Segment: NM1*85*2*ACCOUNT NAME*****XX*1427255058
Service level2-- NM1*82*1*NEAL*MELVIN****XX*1538399811</t>
  </si>
  <si>
    <t>If Service level NPI (2 Service Line with different NPI), Claim level NPI (Rendering Provider) and Billing Provider NPI are different, then in the EDI all the 3 (Service level NPI [2 Service Line with different NPI], Claim level NPI (Rendering Provider) and Billing Provider NPI) NPI must be present.
EDI Segment: 
Billing Provider -- NM1*85*2*ACCOUNT NAME*****XX*1427255058
Service level1 -- NM1*82*1*NEAL*MELVIN****XX*1538399811
Service level2 -- NM1*82*1*NEAL*MELVIN****XX*1538399811
Claim level -- NM1*82*1*MANGUM*SHENITA****XX*1972987972</t>
  </si>
  <si>
    <t>If Service level NPI (2 Service Line with different NPI), Claim level NPI (Rendering Provider) are same and Billing Provider NPI is different, then in the EDI Service level with different NPI, Claim Level NPI and Billing Provider NPI must be present.
EDI Segment: 
Billing Provider -- NM1*85*2*ACCOUNT NAME*****XX*1427255058
Claim level -- NM1*82*1*NEAL*MELVIN****XX*1538399811
Service level2 -- NM1*82*1*MARROQUIN*DIANA****XX*1114374535</t>
  </si>
  <si>
    <t>If Service level NPI is different (2 Service Line with different NPI), Claim level NPI (Rendering Provider) and Billing Provider NPI are same, then in the EDI Service Level NPI and Billing Provider NPI must be present.
EDI Segment: 
Billing Provider -- NM1*85*2*ACCOUNT NAME*****XX*1427255058
Service level1 -- NM1*82*1*NEAL*MELVIN****XX*1538399811
Service level2 -- NM1*82*1*NEAL*MELVIN****XX*1538399811</t>
  </si>
  <si>
    <t xml:space="preserve">If Service level NPI (2 Service Line with different NPI), Billing Provider NPI are same and Claim level NPI (Rendering Provider) is different , then in the EDI Service level with different NPI, Claim Level NPI and Billing Provider NPI must be present.
EDI Segment: 
Billing Provider -- NM1*85*2*ACCOUNT NAME*****XX*1427255058
Claim level -- NM1*82*1*NEAL*MELVIN****XX*1538399811
Service level2 -- NM1*82*1*MARROQUIN*DIANA****XX*1114374535
</t>
  </si>
  <si>
    <t>If Service level NPI, Claim level NPI (Rendering Provider) and Billing Provider NPI are same, then in the EDI  Billing Provider NPI and Claim level (must eliminate NM108 and NM109 segment for Claim level segement)  must be present.
EDI Segment: 
Billing Provider -- NM1*85*2*ACCOUNT NAME*****XX*1427255058
Claim level -- NM1*82*1*CARE*TURNING POINT FAMILY</t>
  </si>
  <si>
    <t xml:space="preserve">If Service level NPI is different, Claim level NPI (Rendering Provider) and Billing Provider NPI are same, then in the EDI Claim level (must eliminate NM108 and NM109 segment for Claim level segement),Service Level NPI and Billing Provider NPI must be present.
EDI Segment: 
Billing Provider -- NM1*85*2*ACCOUNT NAME*****XX*1427255058
Service level -- NM1*82*1*NEAL*MELVIN****XX*1538399811
Claim level -- NM1*82*1*CARE*TURNING POINT FAMILY
</t>
  </si>
  <si>
    <t xml:space="preserve">If Service level NPI, Billing Provider NPI are same and Claim level NPI (Rendering Provider) is different , then in the EDI Claim level, Service Level NPI (must eliminate NM108 and NM109 segment for Service level segement) and Billing Provider NPI must be present.
EDI Segment: 
Billing Provider -- NM1*85*2*ACCOUNT NAME*****XX*1427255058
Claim level -- NM1*82*1*NEAL*MELVIN****XX*1538399811
Service level -- NM1*82*1*CARE*TURNING POINT FAMILY
</t>
  </si>
  <si>
    <t>If Service level NPI (2 Service Line with same NPI), Claim level NPI (Rendering Provider) and Billing Provider NPI are same,  then in the EDI Billing Provider NPI and Claim level (must eliminate NM108 and NM109 segment for Claim level segement)  must be present.
EDI Segment: 
Billing Provider -- NM1*85*2*ACCOUNT NAME*****XX*1427255058
Claim level -- NM1*82*1*CARE*TURNING POINT FAMILY</t>
  </si>
  <si>
    <t>If Service level NPI (2 Service Line with same NPI), Claim level NPI (Rendering Provider) and Billing Provider NPI are different, then in the EDI all the 3 (Service level NPI (2 Service Line NPI), Claim level NPI (Rendering Provider) and Billing Provider NPI) NPI must be present.
EDI Segment: 
Billing Provider -- NM1*85*2*ACCOUNT NAME*****XX*1427255058
Service level1 -- NM1*82*1*NEAL*MELVIN****XX*1538399811
Service level2 -- NM1*82*1*NEAL*MELVIN****XX*1538399811
Claim level -- NM1*82*1*MANGUM*SHENITA****XX*1972987972</t>
  </si>
  <si>
    <t>If Service level NPI is different (2 Service Line with same NPI), Claim level NPI (Rendering Provider) and Billing Provider NPI are same, then in the EDI Claim level (must eliminate NM108 and NM109 segment for Claim level segement), Service Level NPI and Billing Provider NPI must be present.
EDI Segment: 
Billing Provider -- NM1*85*2*ACCOUNT NAME*****XX*1427255058
Service level1 -- NM1*82*1*NEAL*MELVIN****XX*1538399811
Service level2 -- NM1*82*1*NEAL*MELVIN****XX*1538399811
Claim Level -- NM1*82*1*CARE*TURNING POINT FAMILY</t>
  </si>
  <si>
    <t>If Service level NPI (2 Service Line with same NPI), Billing Provider NPI are same and Claim level NPI (Rendering Provider) is different , then in the EDI Claim Level NPI, both the Service line NPI (must eliminate NM108 and NM109 segment for Service level segement) and Billing Provider NPI must be present.
EDI Segment: 
Billing Provider -- NM1*85*2*ACCOUNT NAME*****XX*1427255058
Claim level -- NM1*82*1*NEAL*MELVIN****XX*1538399811
Service level1 -- NM1*82*1*CARE*TURNING POINT FAMILY
Service level2 -- NM1*82*1*CARE*TURNING POINT FAMILY</t>
  </si>
  <si>
    <t>If Service level NPI (2 Service Line with different NPI), Claim level NPI (Rendering Provider) and Billing Provider NPI are same, then in the EDI Claim Level NPI (must eliminate NM108 and NM109 segment for Claim level segement), Service line NPI(different NPI)  and Billing Provider NPI must be present.
EDI Segment: NM1*85*2*ACCOUNT NAME*****XX*1427255058
cLAIM lEVEL -- NM1*82*1*CARE*TURNING POINT FAMILY
Service level2-- NM1*82*1*NEAL*MELVIN****XX*1538399811</t>
  </si>
  <si>
    <t>If Service level NPI is different (2 Service Line with different NPI), Claim level NPI (Rendering Provider) and Billing Provider NPI are same, then in the EDI Claim level (must eliminate NM108 and NM109 segment for Claim level segement), both the Service Level NPI and Billing Provider NPI must be present.
EDI Segment: 
Billing Provider -- NM1*85*2*ACCOUNT NAME*****XX*1427255058
Service level1 -- NM1*82*1*NEAL*MELVIN****XX*1538399811
Service level2 -- NM1*82*1*NEAL*MELVIN****XX*1538399811
Claim Level -- NM1*82*1*CARE*TURNING POINT FAMILY</t>
  </si>
  <si>
    <t xml:space="preserve">If Service level NPI (2 Service Line with different NPI), Billing Provider NPI are same and Claim level NPI (Rendering Provider) is different , then in the EDI Claim level, Service Level NPI (must eliminate NM108 and NM109 segment for Service level segment)and Billing Provider NPI must be present.
EDI Segment: 
Billing Provider -- NM1*85*2*ACCOUNT NAME*****XX*1427255058
Claim Level -- NM1*82*1*NEAL*MELVIN****XX*1538399811
Service level1 -- NM1*82*1*CARE*TURNING POINT FAMILY
Service level2 -- NM1*82*1*NEAL*MELVIN****XX*1538399811
</t>
  </si>
  <si>
    <t>If Service level NPI, Claim level NPI (Rendering Provider) and Billing Provider NPI are same, then in the EDI  Billing Provider NPI and Claim level NPI must be present.
EDI Segment: 
Billing Provider -- NM1*85*2*ACCOUNT NAME*****XX*1427255058
Claim Level -- NM1*82*1*CARE*Account Name****XX*1427255058</t>
  </si>
  <si>
    <t xml:space="preserve">If Service level NPI is different, Claim level NPI (Rendering Provider) and Billing Provider NPI are same, then in the EDI Claim Level NPI, Service Level NPI and Billing Provider NPI must be present.
EDI Segment: 
Billing Provider -- NM1*85*2*ACCOUNT NAME*****XX*1427255058
Claim Level -- NM1*82*1*CARE*Account Name****XX*1427255058
Service level -- NM1*82*1*NEAL*MELVIN****XX*1538399811
</t>
  </si>
  <si>
    <t>If Service level NPI, Billing Provider NPI are same and Claim level NPI (Rendering Provider) is different , then in the EDI Service Level, Claim Level NPI and Billing Provider NPI must be present.
EDI Segment: 
Billing Provider -- NM1*85*2*ACCOUNT NAME*****XX*1427255058
Claim level -- NM1*82*1*NEAL*MELVIN****XX*1538399811
Service Level -- NM1*82*1*CARE*TURNING POINT FAMILY****XX*1427255058</t>
  </si>
  <si>
    <t>If Service level NPI (2 Service Line with same NPI), Claim level NPI (Rendering Provider) and Billing Provider NPI are same, then in the EDI only Billing Provider NPI must be present.
EDI Segment: 
Billing Provider -- NM1*85*2*ACCOUNT NAME*****XX*1427255058
Claim Level -- NM1*82*1*CARE*TURNING POINT FAMILY****XX*1427255058</t>
  </si>
  <si>
    <t>If Service level NPI is different (2 Service Line with same NPI), Claim level NPI (Rendering Provider) and Billing Provider NPI are same, then in the EDI Claim Level, both the Service Level NPI and Billing Provider NPI must be present.
EDI Segment: 
Billing Provider -- NM1*85*2*ACCOUNT NAME*****XX*1427255058
Service level1 -- NM1*82*1*NEAL*MELVIN****XX*1538399811
Service level2 -- NM1*82*1*NEAL*MELVIN****XX*1538399811
Claim Level -- NM1*82*1*CARE*TURNING POINT FAMILY****XX*1427255058</t>
  </si>
  <si>
    <t xml:space="preserve">If Service level NPI (2 Service Line with same NPI), Billing Provider NPI are same and Claim level NPI (Rendering Provider) is different , then in the EDI Claim Level NPI, both the Service Level NPI and Billing Provider NPI must be present.
EDI Segment: 
Billing Provider -- NM1*85*2*ACCOUNT NAME*****XX*1427255058
Service level1 -- NM1*82*1*NEAL*MELVIN****XX*1538399811
Service level2 -- NM1*82*1*NEAL*MELVIN****XX*1538399811
Claim Level -- NM1*82*1*CARE*TURNING POINT FAMILY****XX*1427255058
</t>
  </si>
  <si>
    <t>If Service level NPI (2 Service Line with different NPI), Claim level NPI (Rendering Provider) and Billing Provider NPI are same, then in the EDI only Billing Provider NPI must be present.
EDI Segment: 
Billing Provider -- NM1*85*2*ACCOUNT NAME*****XX*1427255058
Claim Level -- NM1*82*1*CARE*TURNING POINT FAMILY****XX*1427255058
Service Level 2-- NM1*82*1*NEAL*MELVIN****XX*1538399811</t>
  </si>
  <si>
    <t>If Service level NPI is different (2 Service Line with different NPI), Claim level NPI (Rendering Provider) and Billing Provider NPI are same, then in the EDI Claim Level, both the Service Level NPI and Billing Provider NPI must be present.
EDI Segment: 
Billing Provider -- NM1*85*2*ACCOUNT NAME*****XX*1427255058
Service level1 -- NM1*82*1*NEAL*MELVIN****XX*3435545455
Service level2 -- NM1*82*1*NEAL*MELVIN****XX*1538399811
Claim Level -- NM1*82*1*NEAL*MELVIN****XX*1538399811</t>
  </si>
  <si>
    <t>If Service level NPI (2 Service Line with different NPI), Billing Provider NPI are same and Claim level NPI (Rendering Provider) is different , then in the EDI both the Service level, Claim Level NPI and Billing Provider NPI must be present.
EDI Segment: 
Billing Provider -- NM1*85*2*ACCOUNT NAME*****XX*1427255058
Claim level -- NM1*82*1*NEAL*MELVIN****XX*1538399811
Service level2 -- NM1*82*1*MARROQUIN*DIANA****XX*1114374535
Service level1 -- NM1*82*1*NEAL*MELVIN****XX*1538399811</t>
  </si>
  <si>
    <t>Successfully created a claim with Railroad Medicare (SRRGA).</t>
  </si>
  <si>
    <t>Successfully working as per the test condition.</t>
  </si>
  <si>
    <t>Create Professional claim with below box values if greater than max allowed values.</t>
  </si>
  <si>
    <t>Successfully created a claim.</t>
  </si>
  <si>
    <t>Box 19 must allow maximum 80 characters in the application and in the HCFA print form must be truncate to 42 characters.</t>
  </si>
  <si>
    <t>Successfully allows only 42 characters.</t>
  </si>
  <si>
    <t>Box 23 must be truncate to 26 characters in the HCFA print form</t>
  </si>
  <si>
    <t>Successfully allows only 26 characters.</t>
  </si>
  <si>
    <t>Box 17 must be truncate to 24 characters in the HCFA print form</t>
  </si>
  <si>
    <t>Successfully allows only 24 characters.</t>
  </si>
  <si>
    <t>Box 32 Name, Address1, Address2 fields must be truncated to 23 characters each.</t>
  </si>
  <si>
    <t>Successfully allows only 23 characters.</t>
  </si>
  <si>
    <t xml:space="preserve">Box 32, City/state/zip section must have  truncated as per the below:
City to 12 characters, 
State to 2 characters and 
Zip to 9 characters adding up to the max of 23 characters. </t>
  </si>
  <si>
    <t>Pickup Address with prefix must be truncated to 23 characters</t>
  </si>
  <si>
    <t>Drop Off Address with prefix must be truncated to 23 characters</t>
  </si>
  <si>
    <t>Browsers Used</t>
  </si>
  <si>
    <t>PHD/NPHD</t>
  </si>
  <si>
    <t>v3.6.4.JLSFE.1</t>
  </si>
  <si>
    <t>We are introducing a feature where Claim will be erred out for all new patients</t>
  </si>
  <si>
    <t>3.6.4.JLSFE.1</t>
  </si>
  <si>
    <t>New Feature | Claim should not create for New Patients</t>
  </si>
  <si>
    <t>New Feature | Work Batch can be performed</t>
  </si>
  <si>
    <t>NPHD - JLSFE1</t>
  </si>
  <si>
    <t>NPHD - JLSFED</t>
  </si>
  <si>
    <t>Duplicate claim check</t>
  </si>
  <si>
    <t>Firefox, IE 11</t>
  </si>
  <si>
    <t>Step Status</t>
  </si>
  <si>
    <t>Passed</t>
  </si>
  <si>
    <t>Files to be uploaded</t>
  </si>
  <si>
    <t>Project Name</t>
  </si>
  <si>
    <t>Current Test Plan</t>
  </si>
  <si>
    <t>Total Status</t>
  </si>
  <si>
    <t>Execution duration (min)</t>
  </si>
  <si>
    <t xml:space="preserve">             eMB:Project-expEDIum Medical…</t>
  </si>
  <si>
    <t>v3.6.4.JLSFE.1.5 Test Plan</t>
  </si>
  <si>
    <t>1) User should have access to User and Practice and Admin module and 2) Work Batch, Search and New Claim Module should be present</t>
  </si>
  <si>
    <t>Login as Admin
Create an Practice/Additional practice account</t>
  </si>
  <si>
    <t>Practice/Additional Practice account is been created</t>
  </si>
  <si>
    <t>Login in Backend Database
Add Rate Chart for Above Practive NPI for both Payable and Billable</t>
  </si>
  <si>
    <t>Rate Chart should get updated for both: Payable and Billable</t>
  </si>
  <si>
    <t>Create an EDI File for Claim with Allowed amount in allowed amount segment Upload with Existing Patient</t>
  </si>
  <si>
    <t>EDI File created with Allowed amount and existing patient</t>
  </si>
  <si>
    <t>Login To USER
Navigate to Search&gt;&gt;Claim
Copy the Claim ID</t>
  </si>
  <si>
    <t>The above Claim should be created
Claim ID should get copied</t>
  </si>
  <si>
    <t>Navigate to Workbatch&gt;&gt;Manage</t>
  </si>
  <si>
    <t>Workbatch Page should Show</t>
  </si>
  <si>
    <t>Click on Create Work Batch</t>
  </si>
  <si>
    <t>Add Work Pop up should open with
Batch ID
Batch Name
Batch Notes</t>
  </si>
  <si>
    <t>Click on Save Changes after adding the Batch</t>
  </si>
  <si>
    <t>New Batch Should get created</t>
  </si>
  <si>
    <t>Click on Batch ID/Batch Name</t>
  </si>
  <si>
    <t>Add Claim under Batch Page should open</t>
  </si>
  <si>
    <t>Click on Add Claim</t>
  </si>
  <si>
    <t>All the Claims should show, which is not added to any of the Batch</t>
  </si>
  <si>
    <t>Select the claims, which need to be added in the current batch</t>
  </si>
  <si>
    <t>ADD CLAIMS TO WORKBATCH Popup should open with below buttons
Back to the list
Close</t>
  </si>
  <si>
    <t>Click on Back to the list button</t>
  </si>
  <si>
    <t>Click on Close</t>
  </si>
  <si>
    <t>It will show all the claims which is been added under the Work batch</t>
  </si>
  <si>
    <t>Select any of the claims
And click on Action button</t>
  </si>
  <si>
    <t>Three Option should show
Edit Claim
Remove Claim
Move Claim</t>
  </si>
  <si>
    <t>Select Edit Claim Option</t>
  </si>
  <si>
    <t>It should show the Edit Claim page, and the fields should be editable</t>
  </si>
  <si>
    <t>Select Remove Claim</t>
  </si>
  <si>
    <t>Confirmation Popup window will come with Yes and No options</t>
  </si>
  <si>
    <t>Select Yes under Confirmation popup</t>
  </si>
  <si>
    <t>Success popup should show with below details
"Claim removed successfully from Work Batch. "</t>
  </si>
  <si>
    <t>Select No under Confirmation popup</t>
  </si>
  <si>
    <t>Claim should not delete from Work Batch</t>
  </si>
  <si>
    <t>Select Move Claim</t>
  </si>
  <si>
    <t>Work Batch Lookup popup window should show with other work batch and select option</t>
  </si>
  <si>
    <t>Select any of the Work Batch from List and Click on Move Claims Button</t>
  </si>
  <si>
    <t>Success popup should show with below details
"X claim successfully moved to the work batch
Work Batch ID: XXX
Work Batch Name: XXXXXXXXXX "</t>
  </si>
  <si>
    <t>Claim should not Move from Work Batch</t>
  </si>
  <si>
    <t>Click on EDIT button in Work Batch Claim Page</t>
  </si>
  <si>
    <t>It should show   
Batch Name and   Batch Status in Editable status</t>
  </si>
  <si>
    <t>Change the Batch name 
Click on Save Button</t>
  </si>
  <si>
    <t>The Batch name should be changed</t>
  </si>
  <si>
    <t>Change the Batch Status
Click on Save Button</t>
  </si>
  <si>
    <t>The Batch Status should be changed</t>
  </si>
  <si>
    <t>Create one Work Batch and Add Two Claims with Different NPI's</t>
  </si>
  <si>
    <t>Work Batch should create and Claims should get added with different NPI's</t>
  </si>
  <si>
    <t>Click on Apply Button(Apply Rate Chart) From Work Batch Window</t>
  </si>
  <si>
    <t>Rate Chart should get updated for both: Payable and Billable
For both the Claims with different Rates</t>
  </si>
  <si>
    <t>Search For the Claims which is already addedd to other Work Batch</t>
  </si>
  <si>
    <t>No Claims should be found which is already added to other Work Batch</t>
  </si>
  <si>
    <t>Navigate Work Batch&gt;&gt;Manage</t>
  </si>
  <si>
    <t>Work Batch Screen should appear</t>
  </si>
  <si>
    <t>Select "Batch Search Advance Filters"</t>
  </si>
  <si>
    <t>Search Work Batches Popup should open with below tabs
Search Using Claims
Search Using Work Batches
Search Using Input Batch</t>
  </si>
  <si>
    <t>Check under Quick filters option</t>
  </si>
  <si>
    <t>Below options should show
Batch ID
Batch Name
JLSFE Claim Type
Claim ID
Batch Status</t>
  </si>
  <si>
    <t>Select any Batch ID and Click on Search</t>
  </si>
  <si>
    <t>Search result should show all the matching Batch ID's</t>
  </si>
  <si>
    <t>Select any Batch Name and Click on Search</t>
  </si>
  <si>
    <t>Search result should show all the matching Batch Name's</t>
  </si>
  <si>
    <t>1)Login to the user
2)create a claim
3)Navigate to a workBatch 
4)Create a batch and add a one newly created claim which is in pass status.
5) apply a Yreg to newly created batch.</t>
  </si>
  <si>
    <t>The Yrag should apply to that one claim which is in the batch according to the DOS.</t>
  </si>
  <si>
    <t xml:space="preserve">1)Create a batch and add a Multiple claim in to it which are in pass status. 
2) apply a Yreg to newly created batch.
</t>
  </si>
  <si>
    <t>The Yrag should apply to all the claims which are in the batch according to the DOS.</t>
  </si>
  <si>
    <t xml:space="preserve">1)Create a batch and add a Single claim in to it which is in pass status. 
2)The Date of service should not fall under the Yrag date range
3) apply a Yreg to newly created batch.
</t>
  </si>
  <si>
    <t>The Yrag should not apply to that one claim which is in the batch according to the DOS.</t>
  </si>
  <si>
    <t xml:space="preserve">1)Create a batch and add a Multiple claim in to it which are in pass status. 
2)The  Date of service should not fall under the Yrag date range
3) apply a Yreg to newly created batch.
</t>
  </si>
  <si>
    <t>The Yrag should not apply to all the claims which are in the batch according to the DOS.</t>
  </si>
  <si>
    <t xml:space="preserve">1)Create a batch and add a Multiple claim in to it which are in pass status. 
2)Add some Date of service which fall under the Yrag date range and add some which are not fall under the Yrag date.
3) apply a Yreg to newly created batch.
</t>
  </si>
  <si>
    <t>The Yrag should apply to the claims which are falls under the Yrag date and for the remaining Date of service it should not apply.</t>
  </si>
  <si>
    <t xml:space="preserve">1)Create a batch and add a Single claim in to it which is in error status. 
2)The Date of service should fall under the Yrag date range
3) apply a Yreg to newly created batch.
</t>
  </si>
  <si>
    <t>The Yrag should not apply to that one claim which is in the batch.</t>
  </si>
  <si>
    <t xml:space="preserve">1)Create a batch and add a Multiple claim in to it which are in Error status. 
2) apply a Yreg to newly created batch.
</t>
  </si>
  <si>
    <t>The Yrag should not apply to all the claims which are in the batch.</t>
  </si>
  <si>
    <t>3512</t>
  </si>
  <si>
    <t>eMB-815:6753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</si>
</sst>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0"/>
      <color rgb="FF000000"/>
      <name val="Arial"/>
      <family val="2"/>
    </font>
    <font>
      <b/>
      <sz val="10"/>
      <color theme="0"/>
      <name val="Arial"/>
      <family val="2"/>
    </font>
    <font>
      <b/>
      <sz val="11"/>
      <color theme="0"/>
      <name val="Calibri"/>
      <family val="2"/>
      <scheme val="minor"/>
    </font>
    <font>
      <sz val="11"/>
      <color rgb="FFFF0000"/>
      <name val="Calibri"/>
      <family val="2"/>
      <scheme val="minor"/>
    </font>
    <font>
      <sz val="11"/>
      <color rgb="FF000000"/>
      <name val="Calibri"/>
      <family val="2"/>
      <scheme val="minor"/>
    </font>
    <font>
      <b/>
      <sz val="11"/>
      <color rgb="FF000000"/>
      <name val="Calibri"/>
      <family val="2"/>
      <scheme val="minor"/>
    </font>
  </fonts>
  <fills count="6">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theme="9" tint="0.59999389629810485"/>
        <bgColor indexed="64"/>
      </patternFill>
    </fill>
    <fill>
      <patternFill patternType="solid">
        <fgColor theme="6"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style="thick">
        <color theme="0"/>
      </left>
      <right/>
      <top/>
      <bottom/>
      <diagonal/>
    </border>
    <border>
      <left style="thin">
        <color indexed="64"/>
      </left>
      <right/>
      <top/>
      <bottom style="thin">
        <color indexed="64"/>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s>
  <cellStyleXfs count="16">
    <xf numFmtId="0" fontId="0" fillId="0" borderId="0"/>
    <xf numFmtId="0" fontId="8" fillId="0" borderId="0"/>
    <xf numFmtId="0" fontId="8" fillId="0" borderId="0"/>
    <xf numFmtId="0" fontId="7" fillId="0" borderId="0"/>
    <xf numFmtId="0" fontId="6" fillId="0" borderId="0"/>
    <xf numFmtId="0" fontId="9" fillId="0" borderId="0"/>
    <xf numFmtId="0" fontId="5" fillId="0" borderId="0"/>
    <xf numFmtId="0" fontId="5" fillId="0" borderId="0"/>
    <xf numFmtId="0" fontId="5"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cellStyleXfs>
  <cellXfs count="54">
    <xf numFmtId="0" fontId="0" fillId="0" borderId="0" xfId="0" applyAlignment="1">
      <alignment wrapText="1"/>
    </xf>
    <xf numFmtId="0" fontId="9" fillId="0" borderId="0" xfId="0" applyFont="1" applyAlignment="1">
      <alignment wrapText="1"/>
    </xf>
    <xf numFmtId="1" fontId="9" fillId="0" borderId="0" xfId="0" applyNumberFormat="1" applyFont="1" applyAlignment="1">
      <alignment wrapText="1"/>
    </xf>
    <xf numFmtId="0" fontId="9" fillId="0" borderId="1" xfId="0" applyFont="1" applyBorder="1" applyAlignment="1">
      <alignment wrapText="1"/>
    </xf>
    <xf numFmtId="0" fontId="10" fillId="3" borderId="2" xfId="0" applyFont="1" applyFill="1" applyBorder="1" applyAlignment="1">
      <alignment horizontal="center" wrapText="1"/>
    </xf>
    <xf numFmtId="1" fontId="10" fillId="3" borderId="2" xfId="0" applyNumberFormat="1" applyFont="1" applyFill="1" applyBorder="1" applyAlignment="1">
      <alignment horizontal="center" wrapText="1"/>
    </xf>
    <xf numFmtId="0" fontId="10" fillId="0" borderId="3" xfId="0" applyFont="1" applyBorder="1" applyAlignment="1">
      <alignment horizontal="center" wrapText="1"/>
    </xf>
    <xf numFmtId="0" fontId="9" fillId="0" borderId="2" xfId="0" applyFont="1" applyBorder="1" applyAlignment="1">
      <alignment wrapText="1"/>
    </xf>
    <xf numFmtId="0" fontId="0" fillId="4" borderId="1" xfId="0" applyFill="1" applyBorder="1" applyAlignment="1">
      <alignment horizontal="left" vertical="top" wrapText="1"/>
    </xf>
    <xf numFmtId="0" fontId="10" fillId="3" borderId="7" xfId="0" applyFont="1" applyFill="1" applyBorder="1" applyAlignment="1">
      <alignment horizontal="center" wrapText="1"/>
    </xf>
    <xf numFmtId="0" fontId="9" fillId="0" borderId="7" xfId="0" applyFont="1" applyBorder="1" applyAlignment="1">
      <alignment wrapText="1"/>
    </xf>
    <xf numFmtId="0" fontId="10" fillId="3" borderId="1" xfId="0" applyFont="1" applyFill="1" applyBorder="1" applyAlignment="1">
      <alignment horizontal="center" wrapText="1"/>
    </xf>
    <xf numFmtId="1" fontId="10" fillId="3" borderId="1" xfId="0" applyNumberFormat="1"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0" fillId="5" borderId="11" xfId="0" applyFill="1" applyBorder="1" applyAlignment="1">
      <alignment horizontal="left" vertical="top" wrapText="1"/>
    </xf>
    <xf numFmtId="0" fontId="0" fillId="5" borderId="1" xfId="0" applyFill="1" applyBorder="1" applyAlignment="1">
      <alignment horizontal="left" vertical="top" wrapText="1"/>
    </xf>
    <xf numFmtId="0" fontId="0" fillId="5" borderId="12" xfId="0" applyFill="1" applyBorder="1" applyAlignment="1">
      <alignment horizontal="left" vertical="top" wrapText="1"/>
    </xf>
    <xf numFmtId="0" fontId="4" fillId="4" borderId="1" xfId="3" applyFont="1" applyFill="1" applyBorder="1" applyAlignment="1">
      <alignment horizontal="left" vertical="center" wrapText="1"/>
    </xf>
    <xf numFmtId="0" fontId="15" fillId="0" borderId="1" xfId="0" applyFont="1" applyBorder="1" applyAlignment="1">
      <alignment horizontal="left" vertical="center" wrapText="1"/>
    </xf>
    <xf numFmtId="0" fontId="14" fillId="0" borderId="1" xfId="0" applyFont="1" applyBorder="1" applyAlignment="1">
      <alignment horizontal="left" vertical="center" wrapText="1"/>
    </xf>
    <xf numFmtId="0" fontId="15" fillId="3" borderId="1" xfId="0" applyFont="1" applyFill="1" applyBorder="1" applyAlignment="1">
      <alignment horizontal="left" vertical="center" wrapText="1"/>
    </xf>
    <xf numFmtId="0" fontId="15" fillId="3" borderId="1" xfId="0" applyFont="1" applyFill="1" applyBorder="1" applyAlignment="1">
      <alignment horizontal="center" vertical="center" wrapText="1"/>
    </xf>
    <xf numFmtId="1" fontId="15" fillId="3" borderId="1" xfId="0" applyNumberFormat="1" applyFont="1" applyFill="1" applyBorder="1" applyAlignment="1">
      <alignment horizontal="left" vertical="center" wrapText="1"/>
    </xf>
    <xf numFmtId="0" fontId="13" fillId="0" borderId="1" xfId="0" applyFont="1" applyBorder="1" applyAlignment="1">
      <alignment horizontal="left" vertical="center" wrapText="1"/>
    </xf>
    <xf numFmtId="0" fontId="14" fillId="0" borderId="1" xfId="0" applyFont="1" applyBorder="1" applyAlignment="1">
      <alignment horizontal="center" vertical="center" wrapText="1"/>
    </xf>
    <xf numFmtId="0" fontId="14" fillId="0" borderId="1" xfId="5" applyFont="1" applyBorder="1" applyAlignment="1">
      <alignment horizontal="left" vertical="center" wrapText="1"/>
    </xf>
    <xf numFmtId="0" fontId="14" fillId="4" borderId="1" xfId="5" applyFont="1" applyFill="1" applyBorder="1" applyAlignment="1">
      <alignment horizontal="left" vertical="center" wrapText="1"/>
    </xf>
    <xf numFmtId="0" fontId="14" fillId="4" borderId="1" xfId="0" applyFont="1" applyFill="1" applyBorder="1" applyAlignment="1">
      <alignment horizontal="left" vertical="center" wrapText="1"/>
    </xf>
    <xf numFmtId="0" fontId="14" fillId="5" borderId="1" xfId="0" applyFont="1" applyFill="1" applyBorder="1" applyAlignment="1">
      <alignment horizontal="left" vertical="center" wrapText="1"/>
    </xf>
    <xf numFmtId="0" fontId="14" fillId="0" borderId="1" xfId="0" applyFont="1" applyBorder="1" applyAlignment="1">
      <alignment horizontal="left" vertical="center" wrapText="1"/>
    </xf>
    <xf numFmtId="0" fontId="3" fillId="4" borderId="1" xfId="0" applyFont="1" applyFill="1" applyBorder="1" applyAlignment="1">
      <alignment horizontal="left" vertical="center" wrapText="1"/>
    </xf>
    <xf numFmtId="0" fontId="14" fillId="0" borderId="1" xfId="0" applyFont="1" applyBorder="1" applyAlignment="1">
      <alignment horizontal="left" vertical="center" wrapText="1"/>
    </xf>
    <xf numFmtId="0" fontId="9" fillId="0" borderId="2" xfId="0" applyFont="1" applyBorder="1" applyAlignment="1">
      <alignment vertical="center" wrapText="1"/>
    </xf>
    <xf numFmtId="0" fontId="0" fillId="0" borderId="13" xfId="0" applyBorder="1" applyAlignment="1">
      <alignment wrapText="1"/>
    </xf>
    <xf numFmtId="0" fontId="9" fillId="0" borderId="1" xfId="0" applyFont="1" applyBorder="1" applyAlignment="1">
      <alignment vertical="center" wrapText="1"/>
    </xf>
    <xf numFmtId="0" fontId="9" fillId="0" borderId="1" xfId="0" applyFont="1" applyBorder="1" applyAlignment="1">
      <alignment horizontal="center" vertical="center" wrapText="1"/>
    </xf>
    <xf numFmtId="0" fontId="9" fillId="4" borderId="1" xfId="0" applyFont="1" applyFill="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quotePrefix="1" applyFont="1" applyBorder="1" applyAlignment="1">
      <alignment horizontal="left" vertical="center" wrapText="1"/>
    </xf>
    <xf numFmtId="0" fontId="14" fillId="0" borderId="1" xfId="0" applyFont="1" applyBorder="1" applyAlignment="1">
      <alignment horizontal="left" vertical="center" wrapText="1"/>
    </xf>
    <xf numFmtId="0" fontId="1" fillId="4" borderId="1" xfId="0" applyFont="1" applyFill="1" applyBorder="1" applyAlignment="1">
      <alignment horizontal="left" vertical="center" wrapText="1"/>
    </xf>
    <xf numFmtId="0" fontId="11" fillId="2" borderId="6" xfId="0" applyFont="1" applyFill="1" applyBorder="1" applyAlignment="1">
      <alignment horizontal="center" wrapText="1"/>
    </xf>
    <xf numFmtId="0" fontId="11" fillId="2" borderId="0" xfId="0" applyFont="1" applyFill="1" applyBorder="1" applyAlignment="1">
      <alignment horizontal="center" wrapText="1"/>
    </xf>
    <xf numFmtId="0" fontId="0" fillId="0" borderId="0" xfId="0" applyAlignment="1">
      <alignment wrapText="1"/>
    </xf>
    <xf numFmtId="0" fontId="11" fillId="2" borderId="4" xfId="0" applyFont="1" applyFill="1" applyBorder="1" applyAlignment="1">
      <alignment horizontal="center" wrapText="1"/>
    </xf>
    <xf numFmtId="0" fontId="0" fillId="0" borderId="5" xfId="0" applyBorder="1" applyAlignment="1">
      <alignment horizontal="center" wrapText="1"/>
    </xf>
    <xf numFmtId="0" fontId="11" fillId="2" borderId="8" xfId="0" applyFont="1" applyFill="1" applyBorder="1" applyAlignment="1">
      <alignment horizontal="center" wrapText="1"/>
    </xf>
    <xf numFmtId="0" fontId="0" fillId="0" borderId="9" xfId="0" applyBorder="1" applyAlignment="1">
      <alignment horizontal="center" wrapText="1"/>
    </xf>
    <xf numFmtId="0" fontId="0" fillId="0" borderId="10" xfId="0" applyBorder="1" applyAlignment="1">
      <alignment horizontal="center" wrapText="1"/>
    </xf>
    <xf numFmtId="0" fontId="12" fillId="2" borderId="1" xfId="0" applyFont="1" applyFill="1" applyBorder="1" applyAlignment="1">
      <alignment horizontal="left" vertical="center" wrapText="1"/>
    </xf>
    <xf numFmtId="0" fontId="14" fillId="0" borderId="1" xfId="0" applyFont="1" applyBorder="1" applyAlignment="1">
      <alignment horizontal="left" vertical="center" wrapText="1"/>
    </xf>
  </cellXfs>
  <cellStyles count="16">
    <cellStyle name="Normal" xfId="0" builtinId="0"/>
    <cellStyle name="Normal 2" xfId="1" xr:uid="{00000000-0005-0000-0000-000001000000}"/>
    <cellStyle name="Normal 2 2" xfId="2" xr:uid="{00000000-0005-0000-0000-000002000000}"/>
    <cellStyle name="Normal 3" xfId="3" xr:uid="{00000000-0005-0000-0000-000003000000}"/>
    <cellStyle name="Normal 3 2" xfId="6" xr:uid="{00000000-0005-0000-0000-000003000000}"/>
    <cellStyle name="Normal 3 2 2" xfId="12" xr:uid="{00000000-0005-0000-0000-000003000000}"/>
    <cellStyle name="Normal 3 3" xfId="10" xr:uid="{00000000-0005-0000-0000-000003000000}"/>
    <cellStyle name="Normal 4" xfId="4" xr:uid="{00000000-0005-0000-0000-000004000000}"/>
    <cellStyle name="Normal 4 2" xfId="7" xr:uid="{00000000-0005-0000-0000-000004000000}"/>
    <cellStyle name="Normal 4 2 2" xfId="13" xr:uid="{00000000-0005-0000-0000-000004000000}"/>
    <cellStyle name="Normal 4 3" xfId="11" xr:uid="{00000000-0005-0000-0000-000004000000}"/>
    <cellStyle name="Normal 5" xfId="8" xr:uid="{00000000-0005-0000-0000-000005000000}"/>
    <cellStyle name="Normal 5 2" xfId="14" xr:uid="{00000000-0005-0000-0000-000005000000}"/>
    <cellStyle name="Normal 6" xfId="9" xr:uid="{00000000-0005-0000-0000-000006000000}"/>
    <cellStyle name="Normal 6 2" xfId="15" xr:uid="{00000000-0005-0000-0000-000006000000}"/>
    <cellStyle name="Normal 7" xfId="5" xr:uid="{00000000-0005-0000-0000-00003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9"/>
  <sheetViews>
    <sheetView workbookViewId="0">
      <selection activeCell="I4" sqref="I4"/>
    </sheetView>
  </sheetViews>
  <sheetFormatPr defaultColWidth="9.140625" defaultRowHeight="15" customHeight="1" x14ac:dyDescent="0.2"/>
  <cols>
    <col min="1" max="1" width="9.140625" style="1"/>
    <col min="2" max="2" width="11.7109375" style="1" bestFit="1" customWidth="1"/>
    <col min="3" max="3" width="17.85546875" style="1" bestFit="1" customWidth="1"/>
    <col min="4" max="4" width="16.140625" style="1" customWidth="1"/>
    <col min="5" max="5" width="13.28515625" style="1" bestFit="1" customWidth="1"/>
    <col min="6" max="6" width="17.42578125" style="1" bestFit="1" customWidth="1"/>
    <col min="7" max="7" width="36.42578125" style="1" bestFit="1" customWidth="1"/>
    <col min="8" max="8" width="22" style="2" bestFit="1" customWidth="1"/>
    <col min="9" max="10" width="9.140625" style="1"/>
    <col min="11" max="11" width="45.5703125" style="1" bestFit="1" customWidth="1"/>
    <col min="12" max="16384" width="9.140625" style="1"/>
  </cols>
  <sheetData>
    <row r="1" spans="1:11" ht="12.75" x14ac:dyDescent="0.2">
      <c r="A1" s="44" t="s">
        <v>25</v>
      </c>
      <c r="B1" s="45"/>
      <c r="C1" s="45"/>
      <c r="D1" s="45"/>
      <c r="E1" s="44" t="s">
        <v>4</v>
      </c>
      <c r="F1" s="45"/>
      <c r="G1" s="45"/>
      <c r="H1" s="45"/>
      <c r="I1" s="46"/>
      <c r="J1" s="46"/>
      <c r="K1" s="46"/>
    </row>
    <row r="2" spans="1:11" ht="15" customHeight="1" x14ac:dyDescent="0.2">
      <c r="A2" s="4" t="s">
        <v>26</v>
      </c>
      <c r="B2" s="4" t="s">
        <v>23</v>
      </c>
      <c r="C2" s="4" t="s">
        <v>24</v>
      </c>
      <c r="D2" s="4" t="s">
        <v>81</v>
      </c>
      <c r="E2" s="4" t="s">
        <v>0</v>
      </c>
      <c r="F2" s="4" t="s">
        <v>1</v>
      </c>
      <c r="G2" s="4" t="s">
        <v>2</v>
      </c>
      <c r="H2" s="5" t="s">
        <v>80</v>
      </c>
      <c r="I2" s="5" t="s">
        <v>14</v>
      </c>
      <c r="J2" s="5" t="s">
        <v>15</v>
      </c>
      <c r="K2" s="5" t="s">
        <v>16</v>
      </c>
    </row>
    <row r="3" spans="1:11" ht="51" x14ac:dyDescent="0.2">
      <c r="A3" s="3">
        <v>36</v>
      </c>
      <c r="B3" s="7" t="s">
        <v>84</v>
      </c>
      <c r="C3" s="7" t="str">
        <f t="shared" ref="C3" si="0">CONCATENATE(C$2," ",$A3)</f>
        <v>Scope 36</v>
      </c>
      <c r="D3" s="33" t="s">
        <v>87</v>
      </c>
      <c r="E3" s="3">
        <v>6798</v>
      </c>
      <c r="F3" s="3" t="s">
        <v>85</v>
      </c>
      <c r="G3" s="3"/>
      <c r="H3" s="3" t="s">
        <v>90</v>
      </c>
      <c r="I3" s="3" t="s">
        <v>17</v>
      </c>
      <c r="J3" s="3">
        <v>1</v>
      </c>
      <c r="K3" s="3">
        <v>1</v>
      </c>
    </row>
    <row r="4" spans="1:11" ht="38.25" x14ac:dyDescent="0.2">
      <c r="A4" s="3"/>
      <c r="B4" s="7"/>
      <c r="C4" s="7"/>
      <c r="D4" s="33" t="s">
        <v>87</v>
      </c>
      <c r="E4" s="3">
        <v>6753</v>
      </c>
      <c r="F4" s="3" t="s">
        <v>86</v>
      </c>
      <c r="G4" s="3"/>
      <c r="H4" s="3" t="s">
        <v>90</v>
      </c>
      <c r="I4" s="3" t="s">
        <v>17</v>
      </c>
      <c r="J4" s="3">
        <v>1</v>
      </c>
      <c r="K4" s="3">
        <v>1</v>
      </c>
    </row>
    <row r="5" spans="1:11" ht="25.5" x14ac:dyDescent="0.2">
      <c r="A5" s="3"/>
      <c r="B5" s="7"/>
      <c r="C5" s="7"/>
      <c r="D5" s="33" t="s">
        <v>88</v>
      </c>
      <c r="E5" s="34">
        <v>6797</v>
      </c>
      <c r="F5" s="13" t="s">
        <v>89</v>
      </c>
      <c r="G5" s="3"/>
      <c r="H5" s="35" t="s">
        <v>90</v>
      </c>
      <c r="I5" s="36" t="s">
        <v>17</v>
      </c>
      <c r="J5" s="36">
        <v>1</v>
      </c>
      <c r="K5" s="36">
        <v>1</v>
      </c>
    </row>
    <row r="6" spans="1:11" ht="12.75" x14ac:dyDescent="0.2">
      <c r="A6" s="3"/>
      <c r="B6" s="7"/>
      <c r="C6" s="7"/>
      <c r="D6" s="7"/>
      <c r="E6" s="3"/>
      <c r="F6" s="3"/>
      <c r="G6" s="3"/>
      <c r="H6" s="3"/>
      <c r="I6" s="3"/>
      <c r="J6" s="3"/>
      <c r="K6" s="3"/>
    </row>
    <row r="7" spans="1:11" ht="15" customHeight="1" x14ac:dyDescent="0.2">
      <c r="A7" s="3"/>
      <c r="B7" s="7"/>
      <c r="C7" s="7"/>
      <c r="D7" s="7"/>
      <c r="E7" s="3"/>
      <c r="F7" s="3"/>
      <c r="G7" s="3"/>
      <c r="H7" s="3"/>
      <c r="I7" s="3"/>
      <c r="J7" s="3"/>
      <c r="K7" s="3"/>
    </row>
    <row r="8" spans="1:11" ht="15" customHeight="1" x14ac:dyDescent="0.2">
      <c r="A8" s="3"/>
      <c r="B8" s="7"/>
      <c r="C8" s="7"/>
      <c r="D8" s="7"/>
      <c r="E8" s="3"/>
      <c r="F8" s="13"/>
      <c r="G8" s="3"/>
      <c r="H8" s="3"/>
      <c r="I8" s="3"/>
      <c r="J8" s="3"/>
      <c r="K8" s="3"/>
    </row>
    <row r="9" spans="1:11" ht="15" customHeight="1" x14ac:dyDescent="0.2">
      <c r="A9" s="3"/>
      <c r="B9" s="7"/>
      <c r="C9" s="7"/>
      <c r="D9" s="7"/>
      <c r="E9" s="3"/>
      <c r="F9" s="13"/>
      <c r="G9" s="3"/>
      <c r="H9" s="3"/>
      <c r="I9" s="3"/>
      <c r="J9" s="3"/>
      <c r="K9" s="3"/>
    </row>
  </sheetData>
  <mergeCells count="2">
    <mergeCell ref="E1:K1"/>
    <mergeCell ref="A1:D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49"/>
  <sheetViews>
    <sheetView zoomScale="85" zoomScaleNormal="85" workbookViewId="0">
      <selection activeCell="F14" sqref="F14"/>
    </sheetView>
  </sheetViews>
  <sheetFormatPr defaultColWidth="9.140625" defaultRowHeight="15" customHeight="1" x14ac:dyDescent="0.2"/>
  <cols>
    <col min="1" max="1" width="6.28515625" style="14" customWidth="1"/>
    <col min="2" max="2" width="18.140625" style="14" customWidth="1"/>
    <col min="3" max="3" width="13.7109375" style="14" bestFit="1" customWidth="1"/>
    <col min="4" max="4" width="9.28515625" style="14" bestFit="1" customWidth="1"/>
    <col min="5" max="5" width="39.140625" style="14" customWidth="1"/>
    <col min="6" max="6" width="33.140625" style="14" bestFit="1" customWidth="1"/>
    <col min="7" max="7" width="19.5703125" style="14" bestFit="1" customWidth="1"/>
    <col min="8" max="8" width="11.7109375" style="14" bestFit="1" customWidth="1"/>
    <col min="9" max="9" width="18.28515625" style="14" bestFit="1" customWidth="1"/>
    <col min="10" max="10" width="15.42578125" style="14" bestFit="1" customWidth="1"/>
    <col min="11" max="11" width="16.5703125" style="14" bestFit="1" customWidth="1"/>
    <col min="12" max="12" width="20" style="14" bestFit="1" customWidth="1"/>
    <col min="13" max="13" width="26.42578125" style="14" bestFit="1" customWidth="1"/>
    <col min="14" max="14" width="22" style="14" bestFit="1" customWidth="1"/>
    <col min="15" max="16384" width="9.140625" style="14"/>
  </cols>
  <sheetData>
    <row r="1" spans="1:14" ht="15" customHeight="1" thickTop="1" thickBot="1" x14ac:dyDescent="0.25">
      <c r="A1" s="47" t="s">
        <v>20</v>
      </c>
      <c r="B1" s="48"/>
      <c r="C1" s="48"/>
      <c r="D1" s="49" t="s">
        <v>3</v>
      </c>
      <c r="E1" s="50"/>
      <c r="F1" s="50"/>
      <c r="G1" s="50"/>
      <c r="H1" s="50"/>
      <c r="I1" s="50"/>
      <c r="J1" s="50"/>
      <c r="K1" s="50"/>
      <c r="L1" s="50"/>
      <c r="M1" s="51"/>
      <c r="N1" s="6"/>
    </row>
    <row r="2" spans="1:14" ht="15" customHeight="1" thickTop="1" x14ac:dyDescent="0.2">
      <c r="A2" s="4" t="s">
        <v>5</v>
      </c>
      <c r="B2" s="4" t="s">
        <v>21</v>
      </c>
      <c r="C2" s="9" t="s">
        <v>22</v>
      </c>
      <c r="D2" s="11" t="s">
        <v>5</v>
      </c>
      <c r="E2" s="11" t="s">
        <v>6</v>
      </c>
      <c r="F2" s="11" t="s">
        <v>7</v>
      </c>
      <c r="G2" s="11" t="s">
        <v>11</v>
      </c>
      <c r="H2" s="11" t="s">
        <v>10</v>
      </c>
      <c r="I2" s="12" t="s">
        <v>13</v>
      </c>
      <c r="J2" s="11" t="s">
        <v>8</v>
      </c>
      <c r="K2" s="11" t="s">
        <v>9</v>
      </c>
      <c r="L2" s="11" t="s">
        <v>12</v>
      </c>
      <c r="M2" s="11" t="s">
        <v>4</v>
      </c>
    </row>
    <row r="3" spans="1:14" ht="15" customHeight="1" x14ac:dyDescent="0.2">
      <c r="A3" s="3" t="s">
        <v>28</v>
      </c>
      <c r="B3" s="7" t="s">
        <v>29</v>
      </c>
      <c r="C3" s="10" t="str">
        <f t="shared" ref="C3" si="0">CONCATENATE($C$2," ", A3)</f>
        <v>CUST_TS V3.5</v>
      </c>
      <c r="D3" s="3">
        <v>4487</v>
      </c>
      <c r="E3" s="3" t="s">
        <v>27</v>
      </c>
      <c r="F3" s="3" t="str">
        <f>CONCATENATE("This is precondition for ",E3)</f>
        <v>This is precondition for PAYER SPECIFIC - RENDERING PROVIDER NPI MUST DIFFERENT THAN THE BILLING PROVIDER NPI</v>
      </c>
      <c r="G3" s="3" t="s">
        <v>18</v>
      </c>
      <c r="H3" s="3">
        <v>1</v>
      </c>
      <c r="I3" s="3" t="str">
        <f>CONCATENATE("CUST_TC ",D3)</f>
        <v>CUST_TC 4487</v>
      </c>
      <c r="J3" s="8" t="s">
        <v>30</v>
      </c>
      <c r="K3" s="8" t="s">
        <v>65</v>
      </c>
      <c r="L3" s="3" t="s">
        <v>18</v>
      </c>
      <c r="M3" s="3"/>
    </row>
    <row r="4" spans="1:14" ht="15" customHeight="1" x14ac:dyDescent="0.2">
      <c r="A4" s="3"/>
      <c r="B4" s="7"/>
      <c r="C4" s="10"/>
      <c r="D4" s="3"/>
      <c r="E4" s="3"/>
      <c r="F4" s="3"/>
      <c r="G4" s="3"/>
      <c r="H4" s="3"/>
      <c r="I4" s="3"/>
      <c r="J4" s="8" t="s">
        <v>31</v>
      </c>
      <c r="K4" s="8" t="s">
        <v>66</v>
      </c>
      <c r="L4" s="3" t="s">
        <v>18</v>
      </c>
      <c r="M4" s="3"/>
    </row>
    <row r="5" spans="1:14" ht="15" customHeight="1" x14ac:dyDescent="0.2">
      <c r="A5" s="3"/>
      <c r="B5" s="7"/>
      <c r="C5" s="10"/>
      <c r="D5" s="3"/>
      <c r="E5" s="3"/>
      <c r="F5" s="3"/>
      <c r="G5" s="3"/>
      <c r="H5" s="3"/>
      <c r="I5" s="3"/>
      <c r="J5" s="8" t="s">
        <v>32</v>
      </c>
      <c r="K5" s="8" t="s">
        <v>66</v>
      </c>
      <c r="L5" s="3" t="s">
        <v>19</v>
      </c>
      <c r="M5" s="3"/>
    </row>
    <row r="6" spans="1:14" ht="15" customHeight="1" x14ac:dyDescent="0.2">
      <c r="A6" s="3"/>
      <c r="B6" s="7"/>
      <c r="C6" s="10"/>
      <c r="D6" s="3"/>
      <c r="E6" s="3"/>
      <c r="F6" s="3"/>
      <c r="G6" s="3"/>
      <c r="H6" s="3"/>
      <c r="I6" s="3"/>
      <c r="J6" s="8" t="s">
        <v>33</v>
      </c>
      <c r="K6" s="8" t="s">
        <v>66</v>
      </c>
      <c r="L6" s="3" t="s">
        <v>19</v>
      </c>
      <c r="M6" s="3"/>
    </row>
    <row r="7" spans="1:14" ht="15" customHeight="1" x14ac:dyDescent="0.2">
      <c r="A7" s="3"/>
      <c r="B7" s="7"/>
      <c r="C7" s="10"/>
      <c r="D7" s="3"/>
      <c r="E7" s="3"/>
      <c r="F7" s="3"/>
      <c r="G7" s="3"/>
      <c r="H7" s="3"/>
      <c r="I7" s="3"/>
      <c r="J7" s="8" t="s">
        <v>34</v>
      </c>
      <c r="K7" s="8" t="s">
        <v>66</v>
      </c>
      <c r="L7" s="3" t="s">
        <v>19</v>
      </c>
      <c r="M7" s="3"/>
    </row>
    <row r="8" spans="1:14" ht="15" customHeight="1" x14ac:dyDescent="0.2">
      <c r="D8" s="13"/>
      <c r="E8" s="13"/>
      <c r="F8" s="13"/>
      <c r="G8" s="13"/>
      <c r="H8" s="13"/>
      <c r="I8" s="13"/>
      <c r="J8" s="8" t="s">
        <v>35</v>
      </c>
      <c r="K8" s="8" t="s">
        <v>66</v>
      </c>
      <c r="L8" s="3" t="s">
        <v>19</v>
      </c>
      <c r="M8" s="13"/>
    </row>
    <row r="9" spans="1:14" ht="15" customHeight="1" x14ac:dyDescent="0.2">
      <c r="D9" s="13"/>
      <c r="E9" s="13"/>
      <c r="F9" s="13"/>
      <c r="G9" s="13"/>
      <c r="H9" s="13"/>
      <c r="I9" s="13"/>
      <c r="J9" s="8" t="s">
        <v>36</v>
      </c>
      <c r="K9" s="8" t="s">
        <v>66</v>
      </c>
      <c r="L9" s="3" t="s">
        <v>19</v>
      </c>
      <c r="M9" s="13"/>
    </row>
    <row r="10" spans="1:14" ht="15" customHeight="1" x14ac:dyDescent="0.2">
      <c r="D10" s="13"/>
      <c r="E10" s="13"/>
      <c r="F10" s="13"/>
      <c r="G10" s="13"/>
      <c r="H10" s="13"/>
      <c r="I10" s="13"/>
      <c r="J10" s="8" t="s">
        <v>37</v>
      </c>
      <c r="K10" s="8" t="s">
        <v>66</v>
      </c>
      <c r="L10" s="3" t="s">
        <v>19</v>
      </c>
      <c r="M10" s="13"/>
    </row>
    <row r="11" spans="1:14" ht="15" customHeight="1" x14ac:dyDescent="0.2">
      <c r="D11" s="13"/>
      <c r="E11" s="13"/>
      <c r="F11" s="13"/>
      <c r="G11" s="13"/>
      <c r="H11" s="13"/>
      <c r="I11" s="13"/>
      <c r="J11" s="8" t="s">
        <v>38</v>
      </c>
      <c r="K11" s="8" t="s">
        <v>66</v>
      </c>
      <c r="L11" s="3" t="s">
        <v>19</v>
      </c>
      <c r="M11" s="13"/>
    </row>
    <row r="12" spans="1:14" ht="15" customHeight="1" x14ac:dyDescent="0.2">
      <c r="D12" s="13"/>
      <c r="E12" s="13"/>
      <c r="F12" s="13"/>
      <c r="G12" s="13"/>
      <c r="H12" s="13"/>
      <c r="I12" s="13"/>
      <c r="J12" s="8" t="s">
        <v>39</v>
      </c>
      <c r="K12" s="8" t="s">
        <v>66</v>
      </c>
      <c r="L12" s="3" t="s">
        <v>19</v>
      </c>
      <c r="M12" s="13"/>
    </row>
    <row r="13" spans="1:14" ht="15" customHeight="1" x14ac:dyDescent="0.2">
      <c r="D13" s="13"/>
      <c r="E13" s="13"/>
      <c r="F13" s="13"/>
      <c r="G13" s="13"/>
      <c r="H13" s="13"/>
      <c r="I13" s="13"/>
      <c r="J13" s="8" t="s">
        <v>40</v>
      </c>
      <c r="K13" s="8" t="s">
        <v>66</v>
      </c>
      <c r="L13" s="3" t="s">
        <v>19</v>
      </c>
      <c r="M13" s="13"/>
    </row>
    <row r="14" spans="1:14" ht="15" customHeight="1" x14ac:dyDescent="0.2">
      <c r="D14" s="13"/>
      <c r="E14" s="13"/>
      <c r="F14" s="13"/>
      <c r="G14" s="13"/>
      <c r="H14" s="13"/>
      <c r="I14" s="13"/>
      <c r="J14" s="8" t="s">
        <v>41</v>
      </c>
      <c r="K14" s="8" t="s">
        <v>66</v>
      </c>
      <c r="L14" s="3" t="s">
        <v>19</v>
      </c>
      <c r="M14" s="13"/>
    </row>
    <row r="15" spans="1:14" ht="15" customHeight="1" x14ac:dyDescent="0.2">
      <c r="D15" s="13"/>
      <c r="E15" s="13"/>
      <c r="F15" s="13"/>
      <c r="G15" s="13"/>
      <c r="H15" s="13"/>
      <c r="I15" s="13"/>
      <c r="J15" s="8" t="s">
        <v>42</v>
      </c>
      <c r="K15" s="8" t="s">
        <v>66</v>
      </c>
      <c r="L15" s="3" t="s">
        <v>19</v>
      </c>
      <c r="M15" s="13"/>
    </row>
    <row r="16" spans="1:14" ht="15" customHeight="1" x14ac:dyDescent="0.2">
      <c r="D16" s="13"/>
      <c r="E16" s="13"/>
      <c r="F16" s="13"/>
      <c r="G16" s="13"/>
      <c r="H16" s="13"/>
      <c r="I16" s="13"/>
      <c r="J16" s="8" t="s">
        <v>43</v>
      </c>
      <c r="K16" s="8" t="s">
        <v>66</v>
      </c>
      <c r="L16" s="3" t="s">
        <v>19</v>
      </c>
      <c r="M16" s="13"/>
    </row>
    <row r="17" spans="4:13" ht="15" customHeight="1" x14ac:dyDescent="0.2">
      <c r="D17" s="13"/>
      <c r="E17" s="13"/>
      <c r="F17" s="13"/>
      <c r="G17" s="13"/>
      <c r="H17" s="13"/>
      <c r="I17" s="13"/>
      <c r="J17" s="8" t="s">
        <v>44</v>
      </c>
      <c r="K17" s="8" t="s">
        <v>66</v>
      </c>
      <c r="L17" s="3" t="s">
        <v>19</v>
      </c>
      <c r="M17" s="13"/>
    </row>
    <row r="18" spans="4:13" ht="15" customHeight="1" x14ac:dyDescent="0.2">
      <c r="D18" s="13"/>
      <c r="E18" s="13"/>
      <c r="F18" s="13"/>
      <c r="G18" s="13"/>
      <c r="H18" s="13"/>
      <c r="I18" s="13"/>
      <c r="J18" s="8" t="s">
        <v>45</v>
      </c>
      <c r="K18" s="8" t="s">
        <v>66</v>
      </c>
      <c r="L18" s="3" t="s">
        <v>19</v>
      </c>
      <c r="M18" s="13"/>
    </row>
    <row r="19" spans="4:13" ht="15" customHeight="1" x14ac:dyDescent="0.2">
      <c r="D19" s="13"/>
      <c r="E19" s="13"/>
      <c r="F19" s="13"/>
      <c r="G19" s="13"/>
      <c r="H19" s="13"/>
      <c r="I19" s="13"/>
      <c r="J19" s="8" t="s">
        <v>46</v>
      </c>
      <c r="K19" s="8" t="s">
        <v>66</v>
      </c>
      <c r="L19" s="3" t="s">
        <v>19</v>
      </c>
      <c r="M19" s="13"/>
    </row>
    <row r="20" spans="4:13" ht="15" customHeight="1" x14ac:dyDescent="0.2">
      <c r="D20" s="13"/>
      <c r="E20" s="13"/>
      <c r="F20" s="13"/>
      <c r="G20" s="13"/>
      <c r="H20" s="13"/>
      <c r="I20" s="13"/>
      <c r="J20" s="8" t="s">
        <v>32</v>
      </c>
      <c r="K20" s="8" t="s">
        <v>66</v>
      </c>
      <c r="L20" s="3" t="s">
        <v>19</v>
      </c>
      <c r="M20" s="13"/>
    </row>
    <row r="21" spans="4:13" ht="15" customHeight="1" x14ac:dyDescent="0.2">
      <c r="D21" s="13"/>
      <c r="E21" s="13"/>
      <c r="F21" s="13"/>
      <c r="G21" s="13"/>
      <c r="H21" s="13"/>
      <c r="I21" s="13"/>
      <c r="J21" s="8" t="s">
        <v>33</v>
      </c>
      <c r="K21" s="8" t="s">
        <v>66</v>
      </c>
      <c r="L21" s="3" t="s">
        <v>19</v>
      </c>
      <c r="M21" s="13"/>
    </row>
    <row r="22" spans="4:13" ht="15" customHeight="1" x14ac:dyDescent="0.2">
      <c r="D22" s="13"/>
      <c r="E22" s="13"/>
      <c r="F22" s="13"/>
      <c r="G22" s="13"/>
      <c r="H22" s="13"/>
      <c r="I22" s="13"/>
      <c r="J22" s="8" t="s">
        <v>47</v>
      </c>
      <c r="K22" s="8" t="s">
        <v>66</v>
      </c>
      <c r="L22" s="3" t="s">
        <v>19</v>
      </c>
      <c r="M22" s="13"/>
    </row>
    <row r="23" spans="4:13" ht="15" customHeight="1" x14ac:dyDescent="0.2">
      <c r="D23" s="13"/>
      <c r="E23" s="13"/>
      <c r="F23" s="13"/>
      <c r="G23" s="13"/>
      <c r="H23" s="13"/>
      <c r="I23" s="13"/>
      <c r="J23" s="8" t="s">
        <v>48</v>
      </c>
      <c r="K23" s="8" t="s">
        <v>66</v>
      </c>
      <c r="L23" s="3" t="s">
        <v>19</v>
      </c>
      <c r="M23" s="13"/>
    </row>
    <row r="24" spans="4:13" ht="15" customHeight="1" x14ac:dyDescent="0.2">
      <c r="D24" s="13"/>
      <c r="E24" s="13"/>
      <c r="F24" s="13"/>
      <c r="G24" s="13"/>
      <c r="H24" s="13"/>
      <c r="I24" s="13"/>
      <c r="J24" s="8" t="s">
        <v>49</v>
      </c>
      <c r="K24" s="8" t="s">
        <v>66</v>
      </c>
      <c r="L24" s="3" t="s">
        <v>19</v>
      </c>
      <c r="M24" s="13"/>
    </row>
    <row r="25" spans="4:13" ht="15" customHeight="1" x14ac:dyDescent="0.2">
      <c r="D25" s="13"/>
      <c r="E25" s="13"/>
      <c r="F25" s="13"/>
      <c r="G25" s="13"/>
      <c r="H25" s="13"/>
      <c r="I25" s="13"/>
      <c r="J25" s="8" t="s">
        <v>50</v>
      </c>
      <c r="K25" s="8" t="s">
        <v>66</v>
      </c>
      <c r="L25" s="3" t="s">
        <v>19</v>
      </c>
      <c r="M25" s="13"/>
    </row>
    <row r="26" spans="4:13" ht="15" customHeight="1" x14ac:dyDescent="0.2">
      <c r="D26" s="13"/>
      <c r="E26" s="13"/>
      <c r="F26" s="13"/>
      <c r="G26" s="13"/>
      <c r="H26" s="13"/>
      <c r="I26" s="13"/>
      <c r="J26" s="8" t="s">
        <v>38</v>
      </c>
      <c r="K26" s="8" t="s">
        <v>66</v>
      </c>
      <c r="L26" s="3" t="s">
        <v>19</v>
      </c>
      <c r="M26" s="13"/>
    </row>
    <row r="27" spans="4:13" ht="15" customHeight="1" x14ac:dyDescent="0.2">
      <c r="D27" s="13"/>
      <c r="E27" s="13"/>
      <c r="F27" s="13"/>
      <c r="G27" s="13"/>
      <c r="H27" s="13"/>
      <c r="I27" s="13"/>
      <c r="J27" s="8" t="s">
        <v>51</v>
      </c>
      <c r="K27" s="8" t="s">
        <v>66</v>
      </c>
      <c r="L27" s="3" t="s">
        <v>19</v>
      </c>
      <c r="M27" s="13"/>
    </row>
    <row r="28" spans="4:13" ht="15" customHeight="1" x14ac:dyDescent="0.2">
      <c r="D28" s="13"/>
      <c r="E28" s="13"/>
      <c r="F28" s="13"/>
      <c r="G28" s="13"/>
      <c r="H28" s="13"/>
      <c r="I28" s="13"/>
      <c r="J28" s="8" t="s">
        <v>52</v>
      </c>
      <c r="K28" s="8" t="s">
        <v>66</v>
      </c>
      <c r="L28" s="3" t="s">
        <v>19</v>
      </c>
      <c r="M28" s="13"/>
    </row>
    <row r="29" spans="4:13" ht="15" customHeight="1" x14ac:dyDescent="0.2">
      <c r="D29" s="13"/>
      <c r="E29" s="13"/>
      <c r="F29" s="13"/>
      <c r="G29" s="13"/>
      <c r="H29" s="13"/>
      <c r="I29" s="13"/>
      <c r="J29" s="8" t="s">
        <v>53</v>
      </c>
      <c r="K29" s="8" t="s">
        <v>66</v>
      </c>
      <c r="L29" s="3" t="s">
        <v>19</v>
      </c>
      <c r="M29" s="13"/>
    </row>
    <row r="30" spans="4:13" ht="15" customHeight="1" x14ac:dyDescent="0.2">
      <c r="D30" s="13"/>
      <c r="E30" s="13"/>
      <c r="F30" s="13"/>
      <c r="G30" s="13"/>
      <c r="H30" s="13"/>
      <c r="I30" s="13"/>
      <c r="J30" s="8" t="s">
        <v>42</v>
      </c>
      <c r="K30" s="8" t="s">
        <v>66</v>
      </c>
      <c r="L30" s="3" t="s">
        <v>19</v>
      </c>
      <c r="M30" s="13"/>
    </row>
    <row r="31" spans="4:13" ht="15" customHeight="1" x14ac:dyDescent="0.2">
      <c r="D31" s="13"/>
      <c r="E31" s="13"/>
      <c r="F31" s="13"/>
      <c r="G31" s="13"/>
      <c r="H31" s="13"/>
      <c r="I31" s="13"/>
      <c r="J31" s="8" t="s">
        <v>43</v>
      </c>
      <c r="K31" s="8" t="s">
        <v>66</v>
      </c>
      <c r="L31" s="3" t="s">
        <v>19</v>
      </c>
      <c r="M31" s="13"/>
    </row>
    <row r="32" spans="4:13" ht="15" customHeight="1" x14ac:dyDescent="0.2">
      <c r="D32" s="13"/>
      <c r="E32" s="13"/>
      <c r="F32" s="13"/>
      <c r="G32" s="13"/>
      <c r="H32" s="13"/>
      <c r="I32" s="13"/>
      <c r="J32" s="8" t="s">
        <v>54</v>
      </c>
      <c r="K32" s="8" t="s">
        <v>66</v>
      </c>
      <c r="L32" s="3" t="s">
        <v>19</v>
      </c>
      <c r="M32" s="13"/>
    </row>
    <row r="33" spans="4:13" ht="15" customHeight="1" x14ac:dyDescent="0.2">
      <c r="D33" s="13"/>
      <c r="E33" s="13"/>
      <c r="F33" s="13"/>
      <c r="G33" s="13"/>
      <c r="H33" s="13"/>
      <c r="I33" s="13"/>
      <c r="J33" s="8" t="s">
        <v>55</v>
      </c>
      <c r="K33" s="8" t="s">
        <v>66</v>
      </c>
      <c r="L33" s="3" t="s">
        <v>19</v>
      </c>
      <c r="M33" s="13"/>
    </row>
    <row r="34" spans="4:13" ht="15" customHeight="1" x14ac:dyDescent="0.2">
      <c r="D34" s="13"/>
      <c r="E34" s="13"/>
      <c r="F34" s="13"/>
      <c r="G34" s="13"/>
      <c r="H34" s="13"/>
      <c r="I34" s="13"/>
      <c r="J34" s="8" t="s">
        <v>56</v>
      </c>
      <c r="K34" s="8" t="s">
        <v>66</v>
      </c>
      <c r="L34" s="3" t="s">
        <v>19</v>
      </c>
      <c r="M34" s="13"/>
    </row>
    <row r="35" spans="4:13" ht="15" customHeight="1" x14ac:dyDescent="0.2">
      <c r="D35" s="13"/>
      <c r="E35" s="13"/>
      <c r="F35" s="13"/>
      <c r="G35" s="13"/>
      <c r="H35" s="13"/>
      <c r="I35" s="13"/>
      <c r="J35" s="8" t="s">
        <v>32</v>
      </c>
      <c r="K35" s="8" t="s">
        <v>66</v>
      </c>
      <c r="L35" s="3" t="s">
        <v>19</v>
      </c>
      <c r="M35" s="13"/>
    </row>
    <row r="36" spans="4:13" ht="15" customHeight="1" x14ac:dyDescent="0.2">
      <c r="D36" s="13"/>
      <c r="E36" s="13"/>
      <c r="F36" s="13"/>
      <c r="G36" s="13"/>
      <c r="H36" s="13"/>
      <c r="I36" s="13"/>
      <c r="J36" s="8" t="s">
        <v>33</v>
      </c>
      <c r="K36" s="8" t="s">
        <v>66</v>
      </c>
      <c r="L36" s="3" t="s">
        <v>19</v>
      </c>
      <c r="M36" s="13"/>
    </row>
    <row r="37" spans="4:13" ht="15" customHeight="1" x14ac:dyDescent="0.2">
      <c r="D37" s="13"/>
      <c r="E37" s="13"/>
      <c r="F37" s="13"/>
      <c r="G37" s="13"/>
      <c r="H37" s="13"/>
      <c r="I37" s="13"/>
      <c r="J37" s="8" t="s">
        <v>57</v>
      </c>
      <c r="K37" s="8" t="s">
        <v>66</v>
      </c>
      <c r="L37" s="3" t="s">
        <v>19</v>
      </c>
      <c r="M37" s="13"/>
    </row>
    <row r="38" spans="4:13" ht="15" customHeight="1" x14ac:dyDescent="0.2">
      <c r="D38" s="13"/>
      <c r="E38" s="13"/>
      <c r="F38" s="13"/>
      <c r="G38" s="13"/>
      <c r="H38" s="13"/>
      <c r="I38" s="13"/>
      <c r="J38" s="8" t="s">
        <v>58</v>
      </c>
      <c r="K38" s="8" t="s">
        <v>66</v>
      </c>
      <c r="L38" s="3" t="s">
        <v>19</v>
      </c>
      <c r="M38" s="13"/>
    </row>
    <row r="39" spans="4:13" ht="15" customHeight="1" x14ac:dyDescent="0.2">
      <c r="D39" s="13"/>
      <c r="E39" s="13"/>
      <c r="F39" s="13"/>
      <c r="G39" s="13"/>
      <c r="H39" s="13"/>
      <c r="I39" s="13"/>
      <c r="J39" s="8" t="s">
        <v>59</v>
      </c>
      <c r="K39" s="8" t="s">
        <v>66</v>
      </c>
      <c r="L39" s="3" t="s">
        <v>19</v>
      </c>
      <c r="M39" s="13"/>
    </row>
    <row r="40" spans="4:13" ht="15" customHeight="1" x14ac:dyDescent="0.2">
      <c r="D40" s="13"/>
      <c r="E40" s="13"/>
      <c r="F40" s="13"/>
      <c r="G40" s="13"/>
      <c r="H40" s="13"/>
      <c r="I40" s="13"/>
      <c r="J40" s="8" t="s">
        <v>37</v>
      </c>
      <c r="K40" s="8" t="s">
        <v>66</v>
      </c>
      <c r="L40" s="3" t="s">
        <v>19</v>
      </c>
      <c r="M40" s="13"/>
    </row>
    <row r="41" spans="4:13" ht="15" customHeight="1" x14ac:dyDescent="0.2">
      <c r="D41" s="13"/>
      <c r="E41" s="13"/>
      <c r="F41" s="13"/>
      <c r="G41" s="13"/>
      <c r="H41" s="13"/>
      <c r="I41" s="13"/>
      <c r="J41" s="8" t="s">
        <v>38</v>
      </c>
      <c r="K41" s="8" t="s">
        <v>66</v>
      </c>
      <c r="L41" s="3" t="s">
        <v>19</v>
      </c>
      <c r="M41" s="13"/>
    </row>
    <row r="42" spans="4:13" ht="15" customHeight="1" x14ac:dyDescent="0.2">
      <c r="D42" s="13"/>
      <c r="E42" s="13"/>
      <c r="F42" s="13"/>
      <c r="G42" s="13"/>
      <c r="H42" s="13"/>
      <c r="I42" s="13"/>
      <c r="J42" s="8" t="s">
        <v>60</v>
      </c>
      <c r="K42" s="8" t="s">
        <v>66</v>
      </c>
      <c r="L42" s="3" t="s">
        <v>19</v>
      </c>
      <c r="M42" s="13"/>
    </row>
    <row r="43" spans="4:13" ht="15" customHeight="1" x14ac:dyDescent="0.2">
      <c r="D43" s="13"/>
      <c r="E43" s="13"/>
      <c r="F43" s="13"/>
      <c r="G43" s="13"/>
      <c r="H43" s="13"/>
      <c r="I43" s="13"/>
      <c r="J43" s="8" t="s">
        <v>61</v>
      </c>
      <c r="K43" s="8" t="s">
        <v>66</v>
      </c>
      <c r="L43" s="3" t="s">
        <v>19</v>
      </c>
      <c r="M43" s="13"/>
    </row>
    <row r="44" spans="4:13" ht="15" customHeight="1" x14ac:dyDescent="0.2">
      <c r="D44" s="13"/>
      <c r="E44" s="13"/>
      <c r="F44" s="13"/>
      <c r="G44" s="13"/>
      <c r="H44" s="13"/>
      <c r="I44" s="13"/>
      <c r="J44" s="8" t="s">
        <v>62</v>
      </c>
      <c r="K44" s="8" t="s">
        <v>66</v>
      </c>
      <c r="L44" s="3" t="s">
        <v>19</v>
      </c>
      <c r="M44" s="13"/>
    </row>
    <row r="45" spans="4:13" ht="15" customHeight="1" x14ac:dyDescent="0.2">
      <c r="D45" s="13"/>
      <c r="E45" s="13"/>
      <c r="F45" s="13"/>
      <c r="G45" s="13"/>
      <c r="H45" s="13"/>
      <c r="I45" s="13"/>
      <c r="J45" s="8" t="s">
        <v>42</v>
      </c>
      <c r="K45" s="8" t="s">
        <v>66</v>
      </c>
      <c r="L45" s="3" t="s">
        <v>19</v>
      </c>
      <c r="M45" s="13"/>
    </row>
    <row r="46" spans="4:13" ht="15" customHeight="1" x14ac:dyDescent="0.2">
      <c r="D46" s="13"/>
      <c r="E46" s="13"/>
      <c r="F46" s="13"/>
      <c r="G46" s="13"/>
      <c r="H46" s="13"/>
      <c r="I46" s="13"/>
      <c r="J46" s="8" t="s">
        <v>43</v>
      </c>
      <c r="K46" s="8" t="s">
        <v>66</v>
      </c>
      <c r="L46" s="3" t="s">
        <v>19</v>
      </c>
      <c r="M46" s="13"/>
    </row>
    <row r="47" spans="4:13" ht="15" customHeight="1" x14ac:dyDescent="0.2">
      <c r="D47" s="13"/>
      <c r="E47" s="13"/>
      <c r="F47" s="13"/>
      <c r="G47" s="13"/>
      <c r="H47" s="13"/>
      <c r="I47" s="13"/>
      <c r="J47" s="8" t="s">
        <v>63</v>
      </c>
      <c r="K47" s="8" t="s">
        <v>66</v>
      </c>
      <c r="L47" s="3" t="s">
        <v>19</v>
      </c>
      <c r="M47" s="13"/>
    </row>
    <row r="48" spans="4:13" ht="15" customHeight="1" x14ac:dyDescent="0.2">
      <c r="D48" s="13"/>
      <c r="E48" s="13"/>
      <c r="F48" s="13"/>
      <c r="G48" s="13"/>
      <c r="H48" s="13"/>
      <c r="I48" s="13"/>
      <c r="J48" s="8" t="s">
        <v>64</v>
      </c>
      <c r="K48" s="8" t="s">
        <v>66</v>
      </c>
      <c r="L48" s="3" t="s">
        <v>19</v>
      </c>
      <c r="M48" s="13"/>
    </row>
    <row r="49" spans="4:13" ht="15" customHeight="1" x14ac:dyDescent="0.2">
      <c r="D49" s="13"/>
      <c r="E49" s="13"/>
      <c r="F49" s="13"/>
      <c r="G49" s="13"/>
      <c r="H49" s="13"/>
      <c r="I49" s="13"/>
      <c r="J49" s="13"/>
      <c r="K49" s="13"/>
      <c r="L49" s="13"/>
      <c r="M49" s="13"/>
    </row>
  </sheetData>
  <mergeCells count="2">
    <mergeCell ref="A1:C1"/>
    <mergeCell ref="D1:M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84"/>
  <sheetViews>
    <sheetView zoomScale="85" zoomScaleNormal="85" workbookViewId="0">
      <selection activeCell="C27" sqref="C27"/>
    </sheetView>
  </sheetViews>
  <sheetFormatPr defaultColWidth="9.140625" defaultRowHeight="15" customHeight="1" x14ac:dyDescent="0.2"/>
  <cols>
    <col min="1" max="1" width="6.28515625" customWidth="1"/>
    <col min="2" max="2" width="18.140625" customWidth="1"/>
    <col min="3" max="3" width="13.7109375" bestFit="1" customWidth="1"/>
    <col min="4" max="4" width="9.28515625" bestFit="1" customWidth="1"/>
    <col min="5" max="5" width="39.140625" customWidth="1"/>
    <col min="6" max="6" width="33.140625" bestFit="1" customWidth="1"/>
    <col min="7" max="7" width="19.5703125" bestFit="1" customWidth="1"/>
    <col min="8" max="8" width="11.7109375" bestFit="1" customWidth="1"/>
    <col min="9" max="9" width="18.28515625" bestFit="1" customWidth="1"/>
    <col min="10" max="10" width="15.42578125" bestFit="1" customWidth="1"/>
    <col min="11" max="11" width="16.5703125" bestFit="1" customWidth="1"/>
    <col min="12" max="12" width="20" bestFit="1" customWidth="1"/>
    <col min="13" max="13" width="26.42578125" bestFit="1" customWidth="1"/>
    <col min="14" max="14" width="22" bestFit="1" customWidth="1"/>
  </cols>
  <sheetData>
    <row r="1" spans="1:14" ht="15" customHeight="1" thickTop="1" thickBot="1" x14ac:dyDescent="0.25">
      <c r="A1" s="47" t="s">
        <v>20</v>
      </c>
      <c r="B1" s="48"/>
      <c r="C1" s="48"/>
      <c r="D1" s="49" t="s">
        <v>3</v>
      </c>
      <c r="E1" s="50"/>
      <c r="F1" s="50"/>
      <c r="G1" s="50"/>
      <c r="H1" s="50"/>
      <c r="I1" s="50"/>
      <c r="J1" s="50"/>
      <c r="K1" s="50"/>
      <c r="L1" s="50"/>
      <c r="M1" s="51"/>
      <c r="N1" s="6"/>
    </row>
    <row r="2" spans="1:14" ht="15" customHeight="1" thickTop="1" thickBot="1" x14ac:dyDescent="0.25">
      <c r="A2" s="4" t="s">
        <v>5</v>
      </c>
      <c r="B2" s="4" t="s">
        <v>21</v>
      </c>
      <c r="C2" s="9" t="s">
        <v>22</v>
      </c>
      <c r="D2" s="11" t="s">
        <v>5</v>
      </c>
      <c r="E2" s="11" t="s">
        <v>6</v>
      </c>
      <c r="F2" s="11" t="s">
        <v>7</v>
      </c>
      <c r="G2" s="11" t="s">
        <v>11</v>
      </c>
      <c r="H2" s="11" t="s">
        <v>10</v>
      </c>
      <c r="I2" s="12" t="s">
        <v>13</v>
      </c>
      <c r="J2" s="11" t="s">
        <v>8</v>
      </c>
      <c r="K2" s="11" t="s">
        <v>9</v>
      </c>
      <c r="L2" s="11" t="s">
        <v>12</v>
      </c>
      <c r="M2" s="11" t="s">
        <v>4</v>
      </c>
    </row>
    <row r="3" spans="1:14" ht="15" customHeight="1" x14ac:dyDescent="0.2">
      <c r="A3" s="3" t="s">
        <v>28</v>
      </c>
      <c r="B3" s="7" t="s">
        <v>29</v>
      </c>
      <c r="C3" s="10" t="str">
        <f t="shared" ref="C3" si="0">CONCATENATE($C$2," ", A3)</f>
        <v>CUST_TS V3.5</v>
      </c>
      <c r="D3" s="3">
        <v>4386</v>
      </c>
      <c r="E3" s="3" t="s">
        <v>27</v>
      </c>
      <c r="F3" s="3" t="str">
        <f>CONCATENATE("This is precondition for ",E3)</f>
        <v>This is precondition for PAYER SPECIFIC - RENDERING PROVIDER NPI MUST DIFFERENT THAN THE BILLING PROVIDER NPI</v>
      </c>
      <c r="G3" s="3" t="s">
        <v>18</v>
      </c>
      <c r="H3" s="3">
        <v>1</v>
      </c>
      <c r="I3" s="3" t="str">
        <f>CONCATENATE("CUST_TC ",D3)</f>
        <v>CUST_TC 4386</v>
      </c>
      <c r="J3" s="15" t="s">
        <v>67</v>
      </c>
      <c r="K3" s="15" t="s">
        <v>68</v>
      </c>
      <c r="L3" s="3" t="s">
        <v>18</v>
      </c>
      <c r="M3" s="3"/>
    </row>
    <row r="4" spans="1:14" ht="15" customHeight="1" x14ac:dyDescent="0.2">
      <c r="A4" s="3"/>
      <c r="B4" s="7"/>
      <c r="C4" s="10"/>
      <c r="D4" s="3"/>
      <c r="E4" s="3"/>
      <c r="F4" s="3"/>
      <c r="G4" s="3"/>
      <c r="H4" s="3"/>
      <c r="I4" s="3"/>
      <c r="J4" s="16" t="s">
        <v>69</v>
      </c>
      <c r="K4" s="16" t="s">
        <v>70</v>
      </c>
      <c r="L4" s="3" t="s">
        <v>18</v>
      </c>
      <c r="M4" s="3"/>
    </row>
    <row r="5" spans="1:14" ht="15" customHeight="1" x14ac:dyDescent="0.2">
      <c r="A5" s="3"/>
      <c r="B5" s="7"/>
      <c r="C5" s="10"/>
      <c r="D5" s="3"/>
      <c r="E5" s="3"/>
      <c r="F5" s="3"/>
      <c r="G5" s="3"/>
      <c r="H5" s="3"/>
      <c r="I5" s="3"/>
      <c r="J5" s="16" t="s">
        <v>71</v>
      </c>
      <c r="K5" s="16" t="s">
        <v>72</v>
      </c>
      <c r="L5" s="3" t="s">
        <v>19</v>
      </c>
      <c r="M5" s="3"/>
    </row>
    <row r="6" spans="1:14" ht="15" customHeight="1" x14ac:dyDescent="0.2">
      <c r="A6" s="3"/>
      <c r="B6" s="7"/>
      <c r="C6" s="10"/>
      <c r="D6" s="3"/>
      <c r="E6" s="3"/>
      <c r="F6" s="3"/>
      <c r="G6" s="3"/>
      <c r="H6" s="3"/>
      <c r="I6" s="3"/>
      <c r="J6" s="16" t="s">
        <v>73</v>
      </c>
      <c r="K6" s="16" t="s">
        <v>74</v>
      </c>
      <c r="L6" s="3" t="s">
        <v>19</v>
      </c>
      <c r="M6" s="3"/>
    </row>
    <row r="7" spans="1:14" ht="15" customHeight="1" x14ac:dyDescent="0.2">
      <c r="A7" s="3"/>
      <c r="B7" s="7"/>
      <c r="C7" s="10"/>
      <c r="D7" s="3"/>
      <c r="E7" s="3"/>
      <c r="F7" s="3"/>
      <c r="G7" s="3"/>
      <c r="H7" s="3"/>
      <c r="I7" s="3"/>
      <c r="J7" s="16" t="s">
        <v>75</v>
      </c>
      <c r="K7" s="16" t="s">
        <v>76</v>
      </c>
      <c r="L7" s="3" t="s">
        <v>19</v>
      </c>
      <c r="M7" s="3"/>
    </row>
    <row r="8" spans="1:14" ht="15" customHeight="1" x14ac:dyDescent="0.2">
      <c r="D8" s="13"/>
      <c r="E8" s="13"/>
      <c r="F8" s="13"/>
      <c r="G8" s="13"/>
      <c r="H8" s="13"/>
      <c r="I8" s="13"/>
      <c r="J8" s="16" t="s">
        <v>77</v>
      </c>
      <c r="K8" s="16" t="s">
        <v>76</v>
      </c>
      <c r="L8" s="3" t="s">
        <v>19</v>
      </c>
      <c r="M8" s="13"/>
    </row>
    <row r="9" spans="1:14" ht="15" customHeight="1" x14ac:dyDescent="0.2">
      <c r="D9" s="13"/>
      <c r="E9" s="13"/>
      <c r="F9" s="13"/>
      <c r="G9" s="13"/>
      <c r="H9" s="13"/>
      <c r="I9" s="13"/>
      <c r="J9" s="16" t="s">
        <v>78</v>
      </c>
      <c r="K9" s="16" t="s">
        <v>76</v>
      </c>
      <c r="L9" s="3" t="s">
        <v>19</v>
      </c>
      <c r="M9" s="13"/>
    </row>
    <row r="10" spans="1:14" ht="15" customHeight="1" x14ac:dyDescent="0.2">
      <c r="D10" s="13"/>
      <c r="E10" s="13"/>
      <c r="F10" s="13"/>
      <c r="G10" s="13"/>
      <c r="H10" s="13"/>
      <c r="I10" s="13"/>
      <c r="J10" s="16" t="s">
        <v>77</v>
      </c>
      <c r="K10" s="16" t="s">
        <v>76</v>
      </c>
      <c r="L10" s="3" t="s">
        <v>19</v>
      </c>
      <c r="M10" s="13"/>
    </row>
    <row r="11" spans="1:14" ht="15" customHeight="1" x14ac:dyDescent="0.2">
      <c r="D11" s="13"/>
      <c r="E11" s="13"/>
      <c r="F11" s="13"/>
      <c r="G11" s="13"/>
      <c r="H11" s="13"/>
      <c r="I11" s="13"/>
      <c r="J11" s="16" t="s">
        <v>79</v>
      </c>
      <c r="K11" s="16" t="s">
        <v>76</v>
      </c>
      <c r="L11" s="3" t="s">
        <v>19</v>
      </c>
      <c r="M11" s="13"/>
    </row>
    <row r="12" spans="1:14" ht="15" customHeight="1" x14ac:dyDescent="0.2">
      <c r="D12" s="13"/>
      <c r="E12" s="13"/>
      <c r="F12" s="13"/>
      <c r="G12" s="13"/>
      <c r="H12" s="13"/>
      <c r="I12" s="13"/>
      <c r="J12" s="17" t="s">
        <v>77</v>
      </c>
      <c r="K12" s="17" t="s">
        <v>76</v>
      </c>
      <c r="L12" s="3" t="s">
        <v>19</v>
      </c>
      <c r="M12" s="13"/>
    </row>
    <row r="13" spans="1:14" ht="15" customHeight="1" x14ac:dyDescent="0.2">
      <c r="A13" s="14"/>
      <c r="B13" s="14"/>
      <c r="C13" s="14"/>
      <c r="D13" s="14"/>
      <c r="E13" s="14"/>
      <c r="F13" s="14"/>
      <c r="G13" s="14"/>
      <c r="H13" s="14"/>
      <c r="I13" s="14"/>
      <c r="J13" s="14"/>
      <c r="K13" s="14"/>
      <c r="L13" s="14"/>
      <c r="M13" s="13"/>
    </row>
    <row r="14" spans="1:14" ht="15" customHeight="1" x14ac:dyDescent="0.2">
      <c r="A14" s="14"/>
      <c r="B14" s="14"/>
      <c r="D14" s="14"/>
      <c r="E14" s="14"/>
      <c r="F14" s="14"/>
      <c r="G14" s="14"/>
      <c r="H14" s="14"/>
      <c r="I14" s="14"/>
      <c r="J14" s="14"/>
      <c r="K14" s="14"/>
      <c r="L14" s="14"/>
      <c r="M14" s="13"/>
    </row>
    <row r="15" spans="1:14" ht="15" customHeight="1" x14ac:dyDescent="0.2">
      <c r="A15" s="14"/>
      <c r="B15" s="14"/>
      <c r="C15" s="14"/>
      <c r="D15" s="14"/>
      <c r="E15" s="14"/>
      <c r="F15" s="14"/>
      <c r="G15" s="14"/>
      <c r="H15" s="14"/>
      <c r="I15" s="14"/>
      <c r="J15" s="14"/>
      <c r="K15" s="14"/>
      <c r="L15" s="14"/>
      <c r="M15" s="13"/>
    </row>
    <row r="16" spans="1:14" ht="15" customHeight="1" x14ac:dyDescent="0.2">
      <c r="A16" s="14"/>
      <c r="B16" s="14"/>
      <c r="C16" s="14"/>
      <c r="D16" s="14"/>
      <c r="E16" s="14"/>
      <c r="F16" s="14"/>
      <c r="G16" s="14"/>
      <c r="H16" s="14"/>
      <c r="I16" s="14"/>
      <c r="J16" s="14"/>
      <c r="K16" s="14"/>
      <c r="L16" s="14"/>
      <c r="M16" s="13"/>
    </row>
    <row r="17" spans="1:13" ht="15" customHeight="1" x14ac:dyDescent="0.2">
      <c r="A17" s="14"/>
      <c r="B17" s="14"/>
      <c r="C17" s="14"/>
      <c r="D17" s="14"/>
      <c r="E17" s="14"/>
      <c r="F17" s="14"/>
      <c r="G17" s="14"/>
      <c r="H17" s="14"/>
      <c r="I17" s="14"/>
      <c r="J17" s="14"/>
      <c r="K17" s="14"/>
      <c r="L17" s="14"/>
      <c r="M17" s="13"/>
    </row>
    <row r="18" spans="1:13" ht="15" customHeight="1" x14ac:dyDescent="0.2">
      <c r="A18" s="14"/>
      <c r="B18" s="14"/>
      <c r="C18" s="14"/>
      <c r="D18" s="14"/>
      <c r="E18" s="14"/>
      <c r="F18" s="14"/>
      <c r="G18" s="14"/>
      <c r="H18" s="14"/>
      <c r="I18" s="14"/>
      <c r="J18" s="14"/>
      <c r="K18" s="14"/>
      <c r="L18" s="14"/>
      <c r="M18" s="13"/>
    </row>
    <row r="19" spans="1:13" ht="15" customHeight="1" x14ac:dyDescent="0.2">
      <c r="A19" s="14"/>
      <c r="B19" s="14"/>
      <c r="C19" s="14"/>
      <c r="D19" s="14"/>
      <c r="E19" s="14"/>
      <c r="F19" s="14"/>
      <c r="G19" s="14"/>
      <c r="H19" s="14"/>
      <c r="I19" s="14"/>
      <c r="J19" s="14"/>
      <c r="K19" s="14"/>
      <c r="L19" s="14"/>
      <c r="M19" s="13"/>
    </row>
    <row r="20" spans="1:13" ht="15" customHeight="1" x14ac:dyDescent="0.2">
      <c r="A20" s="14"/>
      <c r="B20" s="14"/>
      <c r="C20" s="14"/>
      <c r="D20" s="14"/>
      <c r="E20" s="14"/>
      <c r="F20" s="14"/>
      <c r="G20" s="14"/>
      <c r="H20" s="14"/>
      <c r="I20" s="14"/>
      <c r="J20" s="14"/>
      <c r="K20" s="14"/>
      <c r="L20" s="14"/>
      <c r="M20" s="13"/>
    </row>
    <row r="21" spans="1:13" ht="15" customHeight="1" x14ac:dyDescent="0.2">
      <c r="A21" s="14"/>
      <c r="B21" s="14"/>
      <c r="C21" s="14"/>
      <c r="D21" s="14"/>
      <c r="E21" s="14"/>
      <c r="F21" s="14"/>
      <c r="G21" s="14"/>
      <c r="H21" s="14"/>
      <c r="I21" s="14"/>
      <c r="J21" s="14"/>
      <c r="K21" s="14"/>
      <c r="L21" s="14"/>
      <c r="M21" s="13"/>
    </row>
    <row r="22" spans="1:13" ht="15" customHeight="1" x14ac:dyDescent="0.2">
      <c r="A22" s="14"/>
      <c r="B22" s="14"/>
      <c r="C22" s="14"/>
      <c r="D22" s="14"/>
      <c r="E22" s="14"/>
      <c r="F22" s="14"/>
      <c r="G22" s="14"/>
      <c r="H22" s="14"/>
      <c r="I22" s="14"/>
      <c r="J22" s="14"/>
      <c r="K22" s="14"/>
      <c r="L22" s="14"/>
      <c r="M22" s="13"/>
    </row>
    <row r="23" spans="1:13" ht="15" customHeight="1" x14ac:dyDescent="0.2">
      <c r="A23" s="14"/>
      <c r="B23" s="14"/>
      <c r="C23" s="14"/>
      <c r="D23" s="14"/>
      <c r="E23" s="14"/>
      <c r="F23" s="14"/>
      <c r="G23" s="14"/>
      <c r="H23" s="14"/>
      <c r="I23" s="14"/>
      <c r="J23" s="14"/>
      <c r="K23" s="14"/>
      <c r="L23" s="14"/>
      <c r="M23" s="13"/>
    </row>
    <row r="24" spans="1:13" ht="15" customHeight="1" x14ac:dyDescent="0.2">
      <c r="A24" s="14"/>
      <c r="B24" s="14"/>
      <c r="C24" s="14"/>
      <c r="D24" s="14"/>
      <c r="E24" s="14"/>
      <c r="F24" s="14"/>
      <c r="G24" s="14"/>
      <c r="H24" s="14"/>
      <c r="I24" s="14"/>
      <c r="J24" s="14"/>
      <c r="K24" s="14"/>
      <c r="L24" s="14"/>
      <c r="M24" s="13"/>
    </row>
    <row r="25" spans="1:13" ht="15" customHeight="1" x14ac:dyDescent="0.2">
      <c r="A25" s="14"/>
      <c r="B25" s="14"/>
      <c r="C25" s="14"/>
      <c r="D25" s="14"/>
      <c r="E25" s="14"/>
      <c r="F25" s="14"/>
      <c r="G25" s="14"/>
      <c r="H25" s="14"/>
      <c r="I25" s="14"/>
      <c r="J25" s="14"/>
      <c r="K25" s="14"/>
      <c r="L25" s="14"/>
      <c r="M25" s="13"/>
    </row>
    <row r="26" spans="1:13" ht="15" customHeight="1" x14ac:dyDescent="0.2">
      <c r="A26" s="14"/>
      <c r="B26" s="14"/>
      <c r="C26" s="14"/>
      <c r="D26" s="14"/>
      <c r="E26" s="14"/>
      <c r="F26" s="14"/>
      <c r="G26" s="14"/>
      <c r="H26" s="14"/>
      <c r="I26" s="14"/>
      <c r="J26" s="14"/>
      <c r="K26" s="14"/>
      <c r="L26" s="14"/>
      <c r="M26" s="13"/>
    </row>
    <row r="27" spans="1:13" ht="15" customHeight="1" x14ac:dyDescent="0.2">
      <c r="A27" s="14"/>
      <c r="B27" s="14"/>
      <c r="C27" s="14"/>
      <c r="D27" s="14"/>
      <c r="E27" s="14"/>
      <c r="F27" s="14"/>
      <c r="G27" s="14"/>
      <c r="H27" s="14"/>
      <c r="I27" s="14"/>
      <c r="J27" s="14"/>
      <c r="K27" s="14"/>
      <c r="L27" s="14"/>
      <c r="M27" s="13"/>
    </row>
    <row r="28" spans="1:13" ht="15" customHeight="1" x14ac:dyDescent="0.2">
      <c r="A28" s="14"/>
      <c r="B28" s="14"/>
      <c r="C28" s="14"/>
      <c r="D28" s="14"/>
      <c r="E28" s="14"/>
      <c r="F28" s="14"/>
      <c r="G28" s="14"/>
      <c r="H28" s="14"/>
      <c r="I28" s="14"/>
      <c r="J28" s="14"/>
      <c r="K28" s="14"/>
      <c r="L28" s="14"/>
      <c r="M28" s="13"/>
    </row>
    <row r="29" spans="1:13" ht="15" customHeight="1" x14ac:dyDescent="0.2">
      <c r="A29" s="14"/>
      <c r="B29" s="14"/>
      <c r="C29" s="14"/>
      <c r="D29" s="14"/>
      <c r="E29" s="14"/>
      <c r="F29" s="14"/>
      <c r="G29" s="14"/>
      <c r="H29" s="14"/>
      <c r="I29" s="14"/>
      <c r="J29" s="14"/>
      <c r="K29" s="14"/>
      <c r="L29" s="14"/>
      <c r="M29" s="13"/>
    </row>
    <row r="30" spans="1:13" ht="15" customHeight="1" x14ac:dyDescent="0.2">
      <c r="A30" s="14"/>
      <c r="B30" s="14"/>
      <c r="C30" s="14"/>
      <c r="D30" s="14"/>
      <c r="E30" s="14"/>
      <c r="F30" s="14"/>
      <c r="G30" s="14"/>
      <c r="H30" s="14"/>
      <c r="I30" s="14"/>
      <c r="J30" s="14"/>
      <c r="K30" s="14"/>
      <c r="L30" s="14"/>
      <c r="M30" s="13"/>
    </row>
    <row r="31" spans="1:13" ht="15" customHeight="1" x14ac:dyDescent="0.2">
      <c r="A31" s="14"/>
      <c r="B31" s="14"/>
      <c r="C31" s="14"/>
      <c r="D31" s="14"/>
      <c r="E31" s="14"/>
      <c r="F31" s="14"/>
      <c r="G31" s="14"/>
      <c r="H31" s="14"/>
      <c r="I31" s="14"/>
      <c r="J31" s="14"/>
      <c r="K31" s="14"/>
      <c r="L31" s="14"/>
      <c r="M31" s="13"/>
    </row>
    <row r="32" spans="1:13" ht="15" customHeight="1" x14ac:dyDescent="0.2">
      <c r="A32" s="14"/>
      <c r="B32" s="14"/>
      <c r="C32" s="14"/>
      <c r="D32" s="14"/>
      <c r="E32" s="14"/>
      <c r="F32" s="14"/>
      <c r="G32" s="14"/>
      <c r="H32" s="14"/>
      <c r="I32" s="14"/>
      <c r="J32" s="14"/>
      <c r="K32" s="14"/>
      <c r="L32" s="14"/>
      <c r="M32" s="13"/>
    </row>
    <row r="33" spans="1:13" ht="15" customHeight="1" x14ac:dyDescent="0.2">
      <c r="A33" s="14"/>
      <c r="B33" s="14"/>
      <c r="C33" s="14"/>
      <c r="D33" s="14"/>
      <c r="E33" s="14"/>
      <c r="F33" s="14"/>
      <c r="G33" s="14"/>
      <c r="H33" s="14"/>
      <c r="I33" s="14"/>
      <c r="J33" s="14"/>
      <c r="K33" s="14"/>
      <c r="L33" s="14"/>
      <c r="M33" s="13"/>
    </row>
    <row r="34" spans="1:13" ht="15" customHeight="1" x14ac:dyDescent="0.2">
      <c r="A34" s="14"/>
      <c r="B34" s="14"/>
      <c r="C34" s="14"/>
      <c r="D34" s="14"/>
      <c r="E34" s="14"/>
      <c r="F34" s="14"/>
      <c r="G34" s="14"/>
      <c r="H34" s="14"/>
      <c r="I34" s="14"/>
      <c r="J34" s="14"/>
      <c r="K34" s="14"/>
      <c r="L34" s="14"/>
      <c r="M34" s="13"/>
    </row>
    <row r="35" spans="1:13" ht="15" customHeight="1" x14ac:dyDescent="0.2">
      <c r="A35" s="14"/>
      <c r="B35" s="14"/>
      <c r="C35" s="14"/>
      <c r="D35" s="14"/>
      <c r="E35" s="14"/>
      <c r="F35" s="14"/>
      <c r="G35" s="14"/>
      <c r="H35" s="14"/>
      <c r="I35" s="14"/>
      <c r="J35" s="14"/>
      <c r="K35" s="14"/>
      <c r="L35" s="14"/>
      <c r="M35" s="13"/>
    </row>
    <row r="36" spans="1:13" ht="15" customHeight="1" x14ac:dyDescent="0.2">
      <c r="A36" s="14"/>
      <c r="B36" s="14"/>
      <c r="C36" s="14"/>
      <c r="D36" s="14"/>
      <c r="E36" s="14"/>
      <c r="F36" s="14"/>
      <c r="G36" s="14"/>
      <c r="H36" s="14"/>
      <c r="I36" s="14"/>
      <c r="J36" s="14"/>
      <c r="K36" s="14"/>
      <c r="L36" s="14"/>
      <c r="M36" s="13"/>
    </row>
    <row r="37" spans="1:13" ht="15" customHeight="1" x14ac:dyDescent="0.2">
      <c r="A37" s="14"/>
      <c r="B37" s="14"/>
      <c r="C37" s="14"/>
      <c r="D37" s="14"/>
      <c r="E37" s="14"/>
      <c r="F37" s="14"/>
      <c r="G37" s="14"/>
      <c r="H37" s="14"/>
      <c r="I37" s="14"/>
      <c r="J37" s="14"/>
      <c r="K37" s="14"/>
      <c r="L37" s="14"/>
      <c r="M37" s="13"/>
    </row>
    <row r="38" spans="1:13" ht="15" customHeight="1" x14ac:dyDescent="0.2">
      <c r="A38" s="14"/>
      <c r="B38" s="14"/>
      <c r="C38" s="14"/>
      <c r="D38" s="14"/>
      <c r="E38" s="14"/>
      <c r="F38" s="14"/>
      <c r="G38" s="14"/>
      <c r="H38" s="14"/>
      <c r="I38" s="14"/>
      <c r="J38" s="14"/>
      <c r="K38" s="14"/>
      <c r="L38" s="14"/>
      <c r="M38" s="13"/>
    </row>
    <row r="39" spans="1:13" ht="15" customHeight="1" x14ac:dyDescent="0.2">
      <c r="A39" s="14"/>
      <c r="B39" s="14"/>
      <c r="C39" s="14"/>
      <c r="D39" s="14"/>
      <c r="E39" s="14"/>
      <c r="F39" s="14"/>
      <c r="G39" s="14"/>
      <c r="H39" s="14"/>
      <c r="I39" s="14"/>
      <c r="J39" s="14"/>
      <c r="K39" s="14"/>
      <c r="L39" s="14"/>
      <c r="M39" s="13"/>
    </row>
    <row r="40" spans="1:13" ht="15" customHeight="1" x14ac:dyDescent="0.2">
      <c r="A40" s="14"/>
      <c r="B40" s="14"/>
      <c r="C40" s="14"/>
      <c r="D40" s="14"/>
      <c r="E40" s="14"/>
      <c r="F40" s="14"/>
      <c r="G40" s="14"/>
      <c r="H40" s="14"/>
      <c r="I40" s="14"/>
      <c r="J40" s="14"/>
      <c r="K40" s="14"/>
      <c r="L40" s="14"/>
      <c r="M40" s="13"/>
    </row>
    <row r="41" spans="1:13" ht="15" customHeight="1" x14ac:dyDescent="0.2">
      <c r="A41" s="14"/>
      <c r="B41" s="14"/>
      <c r="C41" s="14"/>
      <c r="D41" s="14"/>
      <c r="E41" s="14"/>
      <c r="F41" s="14"/>
      <c r="G41" s="14"/>
      <c r="H41" s="14"/>
      <c r="I41" s="14"/>
      <c r="J41" s="14"/>
      <c r="K41" s="14"/>
      <c r="L41" s="14"/>
      <c r="M41" s="13"/>
    </row>
    <row r="42" spans="1:13" ht="15" customHeight="1" x14ac:dyDescent="0.2">
      <c r="A42" s="14"/>
      <c r="B42" s="14"/>
      <c r="C42" s="14"/>
      <c r="D42" s="14"/>
      <c r="E42" s="14"/>
      <c r="F42" s="14"/>
      <c r="G42" s="14"/>
      <c r="H42" s="14"/>
      <c r="I42" s="14"/>
      <c r="J42" s="14"/>
      <c r="K42" s="14"/>
      <c r="L42" s="14"/>
      <c r="M42" s="13"/>
    </row>
    <row r="43" spans="1:13" ht="15" customHeight="1" x14ac:dyDescent="0.2">
      <c r="A43" s="14"/>
      <c r="B43" s="14"/>
      <c r="C43" s="14"/>
      <c r="D43" s="14"/>
      <c r="E43" s="14"/>
      <c r="F43" s="14"/>
      <c r="G43" s="14"/>
      <c r="H43" s="14"/>
      <c r="I43" s="14"/>
      <c r="J43" s="14"/>
      <c r="K43" s="14"/>
      <c r="L43" s="14"/>
      <c r="M43" s="13"/>
    </row>
    <row r="44" spans="1:13" ht="15" customHeight="1" x14ac:dyDescent="0.2">
      <c r="A44" s="14"/>
      <c r="B44" s="14"/>
      <c r="C44" s="14"/>
      <c r="D44" s="14"/>
      <c r="E44" s="14"/>
      <c r="F44" s="14"/>
      <c r="G44" s="14"/>
      <c r="H44" s="14"/>
      <c r="I44" s="14"/>
      <c r="J44" s="14"/>
      <c r="K44" s="14"/>
      <c r="L44" s="14"/>
      <c r="M44" s="13"/>
    </row>
    <row r="45" spans="1:13" ht="15" customHeight="1" x14ac:dyDescent="0.2">
      <c r="A45" s="14"/>
      <c r="B45" s="14"/>
      <c r="C45" s="14"/>
      <c r="D45" s="14"/>
      <c r="E45" s="14"/>
      <c r="F45" s="14"/>
      <c r="G45" s="14"/>
      <c r="H45" s="14"/>
      <c r="I45" s="14"/>
      <c r="J45" s="14"/>
      <c r="K45" s="14"/>
      <c r="L45" s="14"/>
      <c r="M45" s="13"/>
    </row>
    <row r="46" spans="1:13" ht="15" customHeight="1" x14ac:dyDescent="0.2">
      <c r="A46" s="14"/>
      <c r="B46" s="14"/>
      <c r="C46" s="14"/>
      <c r="D46" s="14"/>
      <c r="E46" s="14"/>
      <c r="F46" s="14"/>
      <c r="G46" s="14"/>
      <c r="H46" s="14"/>
      <c r="I46" s="14"/>
      <c r="J46" s="14"/>
      <c r="K46" s="14"/>
      <c r="L46" s="14"/>
      <c r="M46" s="13"/>
    </row>
    <row r="47" spans="1:13" ht="15" customHeight="1" x14ac:dyDescent="0.2">
      <c r="A47" s="14"/>
      <c r="B47" s="14"/>
      <c r="C47" s="14"/>
      <c r="D47" s="14"/>
      <c r="E47" s="14"/>
      <c r="F47" s="14"/>
      <c r="G47" s="14"/>
      <c r="H47" s="14"/>
      <c r="I47" s="14"/>
      <c r="J47" s="14"/>
      <c r="K47" s="14"/>
      <c r="L47" s="14"/>
      <c r="M47" s="13"/>
    </row>
    <row r="48" spans="1:13" ht="15" customHeight="1" x14ac:dyDescent="0.2">
      <c r="A48" s="14"/>
      <c r="B48" s="14"/>
      <c r="C48" s="14"/>
      <c r="D48" s="14"/>
      <c r="E48" s="14"/>
      <c r="F48" s="14"/>
      <c r="G48" s="14"/>
      <c r="H48" s="14"/>
      <c r="I48" s="14"/>
      <c r="J48" s="14"/>
      <c r="K48" s="14"/>
      <c r="L48" s="14"/>
      <c r="M48" s="13"/>
    </row>
    <row r="49" spans="1:13" ht="15" customHeight="1" x14ac:dyDescent="0.2">
      <c r="A49" s="14"/>
      <c r="B49" s="14"/>
      <c r="C49" s="14"/>
      <c r="D49" s="14"/>
      <c r="E49" s="14"/>
      <c r="F49" s="14"/>
      <c r="G49" s="14"/>
      <c r="H49" s="14"/>
      <c r="I49" s="14"/>
      <c r="J49" s="14"/>
      <c r="K49" s="14"/>
      <c r="L49" s="14"/>
      <c r="M49" s="13"/>
    </row>
    <row r="50" spans="1:13" ht="15" customHeight="1" x14ac:dyDescent="0.2">
      <c r="A50" s="14"/>
      <c r="B50" s="14"/>
      <c r="C50" s="14"/>
      <c r="D50" s="14"/>
      <c r="E50" s="14"/>
      <c r="F50" s="14"/>
      <c r="G50" s="14"/>
      <c r="H50" s="14"/>
      <c r="I50" s="14"/>
      <c r="J50" s="14"/>
      <c r="K50" s="14"/>
      <c r="L50" s="14"/>
    </row>
    <row r="51" spans="1:13" ht="15" customHeight="1" x14ac:dyDescent="0.2">
      <c r="A51" s="14"/>
      <c r="B51" s="14"/>
      <c r="C51" s="14"/>
      <c r="D51" s="14"/>
      <c r="E51" s="14"/>
      <c r="F51" s="14"/>
      <c r="G51" s="14"/>
      <c r="H51" s="14"/>
      <c r="I51" s="14"/>
      <c r="J51" s="14"/>
      <c r="K51" s="14"/>
      <c r="L51" s="14"/>
    </row>
    <row r="52" spans="1:13" ht="15" customHeight="1" x14ac:dyDescent="0.2">
      <c r="A52" s="14"/>
      <c r="B52" s="14"/>
      <c r="C52" s="14"/>
      <c r="D52" s="14"/>
      <c r="E52" s="14"/>
      <c r="F52" s="14"/>
      <c r="G52" s="14"/>
      <c r="H52" s="14"/>
      <c r="I52" s="14"/>
      <c r="J52" s="14"/>
      <c r="K52" s="14"/>
      <c r="L52" s="14"/>
    </row>
    <row r="53" spans="1:13" ht="15" customHeight="1" x14ac:dyDescent="0.2">
      <c r="A53" s="14"/>
      <c r="B53" s="14"/>
      <c r="C53" s="14"/>
      <c r="D53" s="14"/>
      <c r="E53" s="14"/>
      <c r="F53" s="14"/>
      <c r="G53" s="14"/>
      <c r="H53" s="14"/>
      <c r="I53" s="14"/>
      <c r="J53" s="14"/>
      <c r="K53" s="14"/>
      <c r="L53" s="14"/>
    </row>
    <row r="54" spans="1:13" ht="15" customHeight="1" x14ac:dyDescent="0.2">
      <c r="A54" s="14"/>
      <c r="B54" s="14"/>
      <c r="C54" s="14"/>
      <c r="D54" s="14"/>
      <c r="E54" s="14"/>
      <c r="F54" s="14"/>
      <c r="G54" s="14"/>
      <c r="H54" s="14"/>
      <c r="I54" s="14"/>
      <c r="J54" s="14"/>
      <c r="K54" s="14"/>
      <c r="L54" s="14"/>
    </row>
    <row r="55" spans="1:13" ht="15" customHeight="1" x14ac:dyDescent="0.2">
      <c r="A55" s="14"/>
      <c r="B55" s="14"/>
      <c r="C55" s="14"/>
      <c r="D55" s="14"/>
      <c r="E55" s="14"/>
      <c r="F55" s="14"/>
      <c r="G55" s="14"/>
      <c r="H55" s="14"/>
      <c r="I55" s="14"/>
      <c r="J55" s="14"/>
      <c r="K55" s="14"/>
      <c r="L55" s="14"/>
    </row>
    <row r="56" spans="1:13" ht="15" customHeight="1" x14ac:dyDescent="0.2">
      <c r="A56" s="14"/>
      <c r="B56" s="14"/>
      <c r="C56" s="14"/>
      <c r="D56" s="14"/>
      <c r="E56" s="14"/>
      <c r="F56" s="14"/>
      <c r="G56" s="14"/>
      <c r="H56" s="14"/>
      <c r="I56" s="14"/>
      <c r="J56" s="14"/>
      <c r="K56" s="14"/>
      <c r="L56" s="14"/>
    </row>
    <row r="57" spans="1:13" ht="15" customHeight="1" x14ac:dyDescent="0.2">
      <c r="A57" s="14"/>
      <c r="B57" s="14"/>
      <c r="C57" s="14"/>
      <c r="D57" s="14"/>
      <c r="E57" s="14"/>
      <c r="F57" s="14"/>
      <c r="G57" s="14"/>
      <c r="H57" s="14"/>
      <c r="I57" s="14"/>
      <c r="J57" s="14"/>
      <c r="K57" s="14"/>
      <c r="L57" s="14"/>
    </row>
    <row r="58" spans="1:13" ht="15" customHeight="1" x14ac:dyDescent="0.2">
      <c r="A58" s="14"/>
      <c r="B58" s="14"/>
      <c r="C58" s="14"/>
      <c r="D58" s="14"/>
      <c r="E58" s="14"/>
      <c r="F58" s="14"/>
      <c r="G58" s="14"/>
      <c r="H58" s="14"/>
      <c r="I58" s="14"/>
      <c r="J58" s="14"/>
      <c r="K58" s="14"/>
      <c r="L58" s="14"/>
    </row>
    <row r="59" spans="1:13" ht="15" customHeight="1" x14ac:dyDescent="0.2">
      <c r="A59" s="14"/>
      <c r="B59" s="14"/>
      <c r="C59" s="14"/>
      <c r="D59" s="14"/>
      <c r="E59" s="14"/>
      <c r="F59" s="14"/>
      <c r="G59" s="14"/>
      <c r="H59" s="14"/>
      <c r="I59" s="14"/>
      <c r="J59" s="14"/>
      <c r="K59" s="14"/>
      <c r="L59" s="14"/>
    </row>
    <row r="60" spans="1:13" ht="15" customHeight="1" x14ac:dyDescent="0.2">
      <c r="A60" s="14"/>
      <c r="B60" s="14"/>
      <c r="C60" s="14"/>
      <c r="D60" s="14"/>
      <c r="E60" s="14"/>
      <c r="F60" s="14"/>
      <c r="G60" s="14"/>
      <c r="H60" s="14"/>
      <c r="I60" s="14"/>
      <c r="J60" s="14"/>
      <c r="K60" s="14"/>
      <c r="L60" s="14"/>
    </row>
    <row r="61" spans="1:13" ht="15" customHeight="1" x14ac:dyDescent="0.2">
      <c r="A61" s="14"/>
      <c r="B61" s="14"/>
      <c r="C61" s="14"/>
      <c r="D61" s="14"/>
      <c r="E61" s="14"/>
      <c r="F61" s="14"/>
      <c r="G61" s="14"/>
      <c r="H61" s="14"/>
      <c r="I61" s="14"/>
      <c r="J61" s="14"/>
      <c r="K61" s="14"/>
      <c r="L61" s="14"/>
    </row>
    <row r="62" spans="1:13" ht="15" customHeight="1" x14ac:dyDescent="0.2">
      <c r="A62" s="14"/>
      <c r="B62" s="14"/>
      <c r="C62" s="14"/>
      <c r="D62" s="14"/>
      <c r="E62" s="14"/>
      <c r="F62" s="14"/>
      <c r="G62" s="14"/>
      <c r="H62" s="14"/>
      <c r="I62" s="14"/>
      <c r="J62" s="14"/>
      <c r="K62" s="14"/>
      <c r="L62" s="14"/>
    </row>
    <row r="63" spans="1:13" ht="15" customHeight="1" x14ac:dyDescent="0.2">
      <c r="A63" s="14"/>
      <c r="B63" s="14"/>
      <c r="C63" s="14"/>
      <c r="D63" s="14"/>
      <c r="E63" s="14"/>
      <c r="F63" s="14"/>
      <c r="G63" s="14"/>
      <c r="H63" s="14"/>
      <c r="I63" s="14"/>
      <c r="J63" s="14"/>
      <c r="K63" s="14"/>
      <c r="L63" s="14"/>
    </row>
    <row r="64" spans="1:13" ht="15" customHeight="1" x14ac:dyDescent="0.2">
      <c r="A64" s="14"/>
      <c r="B64" s="14"/>
      <c r="C64" s="14"/>
      <c r="D64" s="14"/>
      <c r="E64" s="14"/>
      <c r="F64" s="14"/>
      <c r="G64" s="14"/>
      <c r="H64" s="14"/>
      <c r="I64" s="14"/>
      <c r="J64" s="14"/>
      <c r="K64" s="14"/>
      <c r="L64" s="14"/>
    </row>
    <row r="65" spans="1:12" ht="15" customHeight="1" x14ac:dyDescent="0.2">
      <c r="A65" s="14"/>
      <c r="B65" s="14"/>
      <c r="C65" s="14"/>
      <c r="D65" s="14"/>
      <c r="E65" s="14"/>
      <c r="F65" s="14"/>
      <c r="G65" s="14"/>
      <c r="H65" s="14"/>
      <c r="I65" s="14"/>
      <c r="J65" s="14"/>
      <c r="K65" s="14"/>
      <c r="L65" s="14"/>
    </row>
    <row r="66" spans="1:12" ht="15" customHeight="1" x14ac:dyDescent="0.2">
      <c r="A66" s="14"/>
      <c r="B66" s="14"/>
      <c r="C66" s="14"/>
      <c r="D66" s="14"/>
      <c r="E66" s="14"/>
      <c r="F66" s="14"/>
      <c r="G66" s="14"/>
      <c r="H66" s="14"/>
      <c r="I66" s="14"/>
      <c r="J66" s="14"/>
      <c r="K66" s="14"/>
      <c r="L66" s="14"/>
    </row>
    <row r="67" spans="1:12" ht="15" customHeight="1" x14ac:dyDescent="0.2">
      <c r="A67" s="14"/>
      <c r="B67" s="14"/>
      <c r="C67" s="14"/>
      <c r="D67" s="14"/>
      <c r="E67" s="14"/>
      <c r="F67" s="14"/>
      <c r="G67" s="14"/>
      <c r="H67" s="14"/>
      <c r="I67" s="14"/>
      <c r="J67" s="14"/>
      <c r="K67" s="14"/>
      <c r="L67" s="14"/>
    </row>
    <row r="68" spans="1:12" ht="15" customHeight="1" x14ac:dyDescent="0.2">
      <c r="A68" s="14"/>
      <c r="B68" s="14"/>
      <c r="C68" s="14"/>
      <c r="D68" s="14"/>
      <c r="E68" s="14"/>
      <c r="F68" s="14"/>
      <c r="G68" s="14"/>
      <c r="H68" s="14"/>
      <c r="I68" s="14"/>
      <c r="J68" s="14"/>
      <c r="K68" s="14"/>
      <c r="L68" s="14"/>
    </row>
    <row r="69" spans="1:12" ht="15" customHeight="1" x14ac:dyDescent="0.2">
      <c r="A69" s="14"/>
      <c r="B69" s="14"/>
      <c r="C69" s="14"/>
      <c r="D69" s="14"/>
      <c r="E69" s="14"/>
      <c r="F69" s="14"/>
      <c r="G69" s="14"/>
      <c r="H69" s="14"/>
      <c r="I69" s="14"/>
      <c r="J69" s="14"/>
      <c r="K69" s="14"/>
      <c r="L69" s="14"/>
    </row>
    <row r="70" spans="1:12" ht="15" customHeight="1" x14ac:dyDescent="0.2">
      <c r="A70" s="14"/>
      <c r="B70" s="14"/>
      <c r="C70" s="14"/>
      <c r="D70" s="14"/>
      <c r="E70" s="14"/>
      <c r="F70" s="14"/>
      <c r="G70" s="14"/>
      <c r="H70" s="14"/>
      <c r="I70" s="14"/>
      <c r="J70" s="14"/>
      <c r="K70" s="14"/>
      <c r="L70" s="14"/>
    </row>
    <row r="71" spans="1:12" ht="15" customHeight="1" x14ac:dyDescent="0.2">
      <c r="A71" s="14"/>
      <c r="B71" s="14"/>
      <c r="C71" s="14"/>
      <c r="D71" s="14"/>
      <c r="E71" s="14"/>
      <c r="F71" s="14"/>
      <c r="G71" s="14"/>
      <c r="H71" s="14"/>
      <c r="I71" s="14"/>
      <c r="J71" s="14"/>
      <c r="K71" s="14"/>
      <c r="L71" s="14"/>
    </row>
    <row r="72" spans="1:12" ht="15" customHeight="1" x14ac:dyDescent="0.2">
      <c r="A72" s="14"/>
      <c r="B72" s="14"/>
      <c r="C72" s="14"/>
      <c r="D72" s="14"/>
      <c r="E72" s="14"/>
      <c r="F72" s="14"/>
      <c r="G72" s="14"/>
      <c r="H72" s="14"/>
      <c r="I72" s="14"/>
      <c r="J72" s="14"/>
      <c r="K72" s="14"/>
      <c r="L72" s="14"/>
    </row>
    <row r="73" spans="1:12" ht="15" customHeight="1" x14ac:dyDescent="0.2">
      <c r="A73" s="14"/>
      <c r="B73" s="14"/>
      <c r="C73" s="14"/>
      <c r="D73" s="14"/>
      <c r="E73" s="14"/>
      <c r="F73" s="14"/>
      <c r="G73" s="14"/>
      <c r="H73" s="14"/>
      <c r="I73" s="14"/>
      <c r="J73" s="14"/>
      <c r="K73" s="14"/>
      <c r="L73" s="14"/>
    </row>
    <row r="74" spans="1:12" ht="15" customHeight="1" x14ac:dyDescent="0.2">
      <c r="A74" s="14"/>
      <c r="B74" s="14"/>
      <c r="C74" s="14"/>
      <c r="D74" s="14"/>
      <c r="E74" s="14"/>
      <c r="F74" s="14"/>
      <c r="G74" s="14"/>
      <c r="H74" s="14"/>
      <c r="I74" s="14"/>
      <c r="J74" s="14"/>
      <c r="K74" s="14"/>
      <c r="L74" s="14"/>
    </row>
    <row r="75" spans="1:12" ht="15" customHeight="1" x14ac:dyDescent="0.2">
      <c r="A75" s="14"/>
      <c r="B75" s="14"/>
      <c r="C75" s="14"/>
      <c r="D75" s="14"/>
      <c r="E75" s="14"/>
      <c r="F75" s="14"/>
      <c r="G75" s="14"/>
      <c r="H75" s="14"/>
      <c r="I75" s="14"/>
      <c r="J75" s="14"/>
      <c r="K75" s="14"/>
      <c r="L75" s="14"/>
    </row>
    <row r="76" spans="1:12" ht="15" customHeight="1" x14ac:dyDescent="0.2">
      <c r="A76" s="14"/>
      <c r="B76" s="14"/>
      <c r="C76" s="14"/>
      <c r="D76" s="14"/>
      <c r="E76" s="14"/>
      <c r="F76" s="14"/>
      <c r="G76" s="14"/>
      <c r="H76" s="14"/>
      <c r="I76" s="14"/>
      <c r="J76" s="14"/>
      <c r="K76" s="14"/>
      <c r="L76" s="14"/>
    </row>
    <row r="77" spans="1:12" ht="15" customHeight="1" x14ac:dyDescent="0.2">
      <c r="A77" s="14"/>
      <c r="B77" s="14"/>
      <c r="C77" s="14"/>
      <c r="D77" s="14"/>
      <c r="E77" s="14"/>
      <c r="F77" s="14"/>
      <c r="G77" s="14"/>
      <c r="H77" s="14"/>
      <c r="I77" s="14"/>
      <c r="J77" s="14"/>
      <c r="K77" s="14"/>
      <c r="L77" s="14"/>
    </row>
    <row r="78" spans="1:12" ht="15" customHeight="1" x14ac:dyDescent="0.2">
      <c r="A78" s="14"/>
      <c r="B78" s="14"/>
      <c r="C78" s="14"/>
      <c r="D78" s="14"/>
      <c r="E78" s="14"/>
      <c r="F78" s="14"/>
      <c r="G78" s="14"/>
      <c r="H78" s="14"/>
      <c r="I78" s="14"/>
      <c r="J78" s="14"/>
      <c r="K78" s="14"/>
      <c r="L78" s="14"/>
    </row>
    <row r="79" spans="1:12" ht="15" customHeight="1" x14ac:dyDescent="0.2">
      <c r="A79" s="14"/>
      <c r="B79" s="14"/>
      <c r="C79" s="14"/>
      <c r="D79" s="14"/>
      <c r="E79" s="14"/>
      <c r="F79" s="14"/>
      <c r="G79" s="14"/>
      <c r="H79" s="14"/>
      <c r="I79" s="14"/>
      <c r="J79" s="14"/>
      <c r="K79" s="14"/>
      <c r="L79" s="14"/>
    </row>
    <row r="80" spans="1:12" ht="15" customHeight="1" x14ac:dyDescent="0.2">
      <c r="A80" s="14"/>
      <c r="B80" s="14"/>
      <c r="C80" s="14"/>
      <c r="D80" s="14"/>
      <c r="E80" s="14"/>
      <c r="F80" s="14"/>
      <c r="G80" s="14"/>
      <c r="H80" s="14"/>
      <c r="I80" s="14"/>
      <c r="J80" s="14"/>
      <c r="K80" s="14"/>
      <c r="L80" s="14"/>
    </row>
    <row r="81" spans="1:12" ht="15" customHeight="1" x14ac:dyDescent="0.2">
      <c r="A81" s="14"/>
      <c r="B81" s="14"/>
      <c r="C81" s="14"/>
      <c r="D81" s="14"/>
      <c r="E81" s="14"/>
      <c r="F81" s="14"/>
      <c r="G81" s="14"/>
      <c r="H81" s="14"/>
      <c r="I81" s="14"/>
      <c r="J81" s="14"/>
      <c r="K81" s="14"/>
      <c r="L81" s="14"/>
    </row>
    <row r="82" spans="1:12" ht="15" customHeight="1" x14ac:dyDescent="0.2">
      <c r="A82" s="14"/>
      <c r="B82" s="14"/>
      <c r="C82" s="14"/>
      <c r="D82" s="14"/>
      <c r="E82" s="14"/>
      <c r="F82" s="14"/>
      <c r="G82" s="14"/>
      <c r="H82" s="14"/>
      <c r="I82" s="14"/>
      <c r="J82" s="14"/>
      <c r="K82" s="14"/>
      <c r="L82" s="14"/>
    </row>
    <row r="83" spans="1:12" ht="15" customHeight="1" x14ac:dyDescent="0.2">
      <c r="A83" s="14"/>
      <c r="B83" s="14"/>
      <c r="C83" s="14"/>
      <c r="D83" s="14"/>
      <c r="E83" s="14"/>
      <c r="F83" s="14"/>
      <c r="G83" s="14"/>
      <c r="H83" s="14"/>
      <c r="I83" s="14"/>
      <c r="J83" s="14"/>
      <c r="K83" s="14"/>
      <c r="L83" s="14"/>
    </row>
    <row r="84" spans="1:12" ht="15" customHeight="1" x14ac:dyDescent="0.2">
      <c r="A84" s="14"/>
      <c r="B84" s="14"/>
      <c r="C84" s="14"/>
      <c r="D84" s="14"/>
      <c r="E84" s="14"/>
      <c r="F84" s="14"/>
      <c r="G84" s="14"/>
      <c r="H84" s="14"/>
      <c r="I84" s="14"/>
      <c r="J84" s="14"/>
      <c r="K84" s="14"/>
      <c r="L84" s="14"/>
    </row>
  </sheetData>
  <mergeCells count="2">
    <mergeCell ref="D1:M1"/>
    <mergeCell ref="A1:C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75"/>
  <sheetViews>
    <sheetView tabSelected="1" zoomScale="90" zoomScaleNormal="90" workbookViewId="0">
      <pane ySplit="2" topLeftCell="A3" activePane="bottomLeft" state="frozen"/>
      <selection pane="bottomLeft" activeCell="D3" sqref="D3"/>
    </sheetView>
  </sheetViews>
  <sheetFormatPr defaultColWidth="9.140625" defaultRowHeight="15" x14ac:dyDescent="0.2"/>
  <cols>
    <col min="1" max="1" width="6.28515625" style="20" customWidth="1"/>
    <col min="2" max="2" width="10.42578125" style="20" customWidth="1"/>
    <col min="3" max="3" width="13.7109375" style="20" bestFit="1" customWidth="1"/>
    <col min="4" max="4" width="9.28515625" style="25" bestFit="1" customWidth="1"/>
    <col min="5" max="5" width="23.5703125" style="20" customWidth="1"/>
    <col min="6" max="6" width="20" style="20" customWidth="1"/>
    <col min="7" max="7" width="7.42578125" style="20" customWidth="1"/>
    <col min="8" max="8" width="8" style="20" customWidth="1"/>
    <col min="9" max="9" width="18.28515625" style="20" bestFit="1" customWidth="1"/>
    <col min="10" max="10" width="39" style="20" customWidth="1"/>
    <col min="11" max="11" width="32.5703125" style="20" customWidth="1"/>
    <col min="12" max="12" width="20" style="20" bestFit="1" customWidth="1"/>
    <col min="13" max="13" width="26.42578125" style="20" bestFit="1" customWidth="1"/>
    <col min="14" max="14" width="22" style="20" bestFit="1" customWidth="1"/>
    <col min="15" max="16384" width="9.140625" style="20"/>
  </cols>
  <sheetData>
    <row r="1" spans="1:19" x14ac:dyDescent="0.2">
      <c r="A1" s="52" t="s">
        <v>20</v>
      </c>
      <c r="B1" s="53"/>
      <c r="C1" s="53"/>
      <c r="D1" s="52" t="s">
        <v>3</v>
      </c>
      <c r="E1" s="53"/>
      <c r="F1" s="53"/>
      <c r="G1" s="53"/>
      <c r="H1" s="53"/>
      <c r="I1" s="53"/>
      <c r="J1" s="53"/>
      <c r="K1" s="53"/>
      <c r="L1" s="53"/>
      <c r="M1" s="53"/>
      <c r="N1" s="19"/>
    </row>
    <row r="2" spans="1:19" ht="60" x14ac:dyDescent="0.2">
      <c r="A2" s="21" t="s">
        <v>5</v>
      </c>
      <c r="B2" s="21" t="s">
        <v>21</v>
      </c>
      <c r="C2" s="21" t="s">
        <v>22</v>
      </c>
      <c r="D2" s="22" t="s">
        <v>5</v>
      </c>
      <c r="E2" s="21" t="s">
        <v>6</v>
      </c>
      <c r="F2" s="21" t="s">
        <v>7</v>
      </c>
      <c r="G2" s="21" t="s">
        <v>11</v>
      </c>
      <c r="H2" s="21" t="s">
        <v>10</v>
      </c>
      <c r="I2" s="23" t="s">
        <v>13</v>
      </c>
      <c r="J2" s="21" t="s">
        <v>8</v>
      </c>
      <c r="K2" s="21" t="s">
        <v>9</v>
      </c>
      <c r="L2" s="21" t="s">
        <v>12</v>
      </c>
      <c r="M2" s="21" t="s">
        <v>4</v>
      </c>
      <c r="N2" s="39" t="s">
        <v>91</v>
      </c>
      <c r="O2" s="39" t="s">
        <v>93</v>
      </c>
      <c r="P2" s="39" t="s">
        <v>94</v>
      </c>
      <c r="Q2" s="39" t="s">
        <v>95</v>
      </c>
      <c r="R2" s="39" t="s">
        <v>96</v>
      </c>
      <c r="S2" s="39" t="s">
        <v>97</v>
      </c>
    </row>
    <row r="3" spans="1:19" ht="105" x14ac:dyDescent="0.2">
      <c r="A3" s="40" t="s">
        <v>82</v>
      </c>
      <c r="B3" s="40"/>
      <c r="C3" s="24" t="str">
        <f t="shared" ref="C3" si="0">CONCATENATE($C$2," ", A3)</f>
        <v>CUST_TS v3.6.4.JLSFE.1</v>
      </c>
      <c r="D3" s="25" t="s">
        <v>176</v>
      </c>
      <c r="E3" s="42" t="s">
        <v>83</v>
      </c>
      <c r="F3" s="26" t="s">
        <v>100</v>
      </c>
      <c r="G3" s="42" t="s">
        <v>18</v>
      </c>
      <c r="H3" s="42">
        <v>1</v>
      </c>
      <c r="I3" s="24" t="str">
        <f>CONCATENATE("CUST_TC ",D3)</f>
        <v>CUST_TC eMB-815:6753</v>
      </c>
      <c r="J3" s="27" t="s">
        <v>101</v>
      </c>
      <c r="K3" s="28" t="s">
        <v>102</v>
      </c>
      <c r="L3" s="42" t="s">
        <v>18</v>
      </c>
      <c r="M3" s="28" t="s">
        <v>102</v>
      </c>
      <c r="N3" s="42" t="s">
        <v>92</v>
      </c>
      <c r="O3" s="42">
        <v>1</v>
      </c>
      <c r="P3" s="40" t="s">
        <v>98</v>
      </c>
      <c r="Q3" s="40" t="s">
        <v>99</v>
      </c>
      <c r="R3" s="40" t="s">
        <v>92</v>
      </c>
      <c r="S3" s="41" t="s">
        <v>175</v>
      </c>
    </row>
    <row r="4" spans="1:19" ht="45" x14ac:dyDescent="0.2">
      <c r="A4" s="40"/>
      <c r="B4" s="40"/>
      <c r="C4" s="40"/>
      <c r="E4" s="42"/>
      <c r="F4" s="42"/>
      <c r="G4" s="42"/>
      <c r="H4" s="42"/>
      <c r="I4" s="42"/>
      <c r="J4" s="28" t="s">
        <v>103</v>
      </c>
      <c r="K4" s="28" t="s">
        <v>104</v>
      </c>
      <c r="L4" s="42" t="s">
        <v>18</v>
      </c>
      <c r="M4" s="28" t="s">
        <v>104</v>
      </c>
      <c r="N4" s="42" t="s">
        <v>92</v>
      </c>
      <c r="O4" s="42">
        <v>2</v>
      </c>
      <c r="P4" s="40"/>
      <c r="Q4" s="40"/>
      <c r="R4" s="40"/>
      <c r="S4" s="40"/>
    </row>
    <row r="5" spans="1:19" ht="45" x14ac:dyDescent="0.2">
      <c r="A5" s="40"/>
      <c r="B5" s="40"/>
      <c r="C5" s="24"/>
      <c r="E5" s="42"/>
      <c r="F5" s="42"/>
      <c r="G5" s="42"/>
      <c r="H5" s="42"/>
      <c r="I5" s="42"/>
      <c r="J5" s="27" t="s">
        <v>105</v>
      </c>
      <c r="K5" s="28" t="s">
        <v>106</v>
      </c>
      <c r="L5" s="42" t="s">
        <v>18</v>
      </c>
      <c r="M5" s="28" t="s">
        <v>106</v>
      </c>
      <c r="N5" s="42" t="s">
        <v>92</v>
      </c>
      <c r="O5" s="42">
        <v>3</v>
      </c>
      <c r="P5" s="40"/>
      <c r="Q5" s="40"/>
      <c r="R5" s="40"/>
      <c r="S5" s="40"/>
    </row>
    <row r="6" spans="1:19" ht="45" x14ac:dyDescent="0.2">
      <c r="A6" s="40"/>
      <c r="B6" s="40"/>
      <c r="C6" s="40"/>
      <c r="E6" s="42"/>
      <c r="F6" s="42"/>
      <c r="G6" s="42"/>
      <c r="H6" s="42"/>
      <c r="I6" s="42"/>
      <c r="J6" s="28" t="s">
        <v>107</v>
      </c>
      <c r="K6" s="28" t="s">
        <v>108</v>
      </c>
      <c r="L6" s="42" t="s">
        <v>18</v>
      </c>
      <c r="M6" s="28" t="s">
        <v>108</v>
      </c>
      <c r="N6" s="42" t="s">
        <v>92</v>
      </c>
      <c r="O6" s="42">
        <v>4</v>
      </c>
      <c r="P6" s="40"/>
      <c r="Q6" s="40"/>
      <c r="R6" s="40"/>
      <c r="S6" s="40"/>
    </row>
    <row r="7" spans="1:19" ht="30" x14ac:dyDescent="0.2">
      <c r="A7" s="40"/>
      <c r="B7" s="40"/>
      <c r="C7" s="40"/>
      <c r="E7" s="42"/>
      <c r="F7" s="42"/>
      <c r="G7" s="42"/>
      <c r="H7" s="42"/>
      <c r="I7" s="42"/>
      <c r="J7" s="28" t="s">
        <v>109</v>
      </c>
      <c r="K7" s="28" t="s">
        <v>110</v>
      </c>
      <c r="L7" s="42" t="s">
        <v>18</v>
      </c>
      <c r="M7" s="28" t="s">
        <v>110</v>
      </c>
      <c r="N7" s="42" t="s">
        <v>92</v>
      </c>
      <c r="O7" s="42">
        <v>5</v>
      </c>
      <c r="P7" s="40"/>
      <c r="Q7" s="40"/>
      <c r="R7" s="40"/>
      <c r="S7" s="40"/>
    </row>
    <row r="8" spans="1:19" ht="75" x14ac:dyDescent="0.2">
      <c r="A8" s="40"/>
      <c r="B8" s="40"/>
      <c r="C8" s="40"/>
      <c r="E8" s="42"/>
      <c r="F8" s="42"/>
      <c r="G8" s="42"/>
      <c r="H8" s="42"/>
      <c r="I8" s="42"/>
      <c r="J8" s="28" t="s">
        <v>111</v>
      </c>
      <c r="K8" s="28" t="s">
        <v>112</v>
      </c>
      <c r="L8" s="42" t="s">
        <v>18</v>
      </c>
      <c r="M8" s="28" t="s">
        <v>112</v>
      </c>
      <c r="N8" s="42" t="s">
        <v>92</v>
      </c>
      <c r="O8" s="42">
        <v>6</v>
      </c>
      <c r="P8" s="40"/>
      <c r="Q8" s="40"/>
      <c r="R8" s="40"/>
      <c r="S8" s="40"/>
    </row>
    <row r="9" spans="1:19" ht="30" x14ac:dyDescent="0.2">
      <c r="A9" s="40"/>
      <c r="B9" s="40"/>
      <c r="C9" s="40"/>
      <c r="E9" s="42"/>
      <c r="F9" s="26"/>
      <c r="G9" s="42"/>
      <c r="H9" s="42"/>
      <c r="I9" s="24"/>
      <c r="J9" s="27" t="s">
        <v>113</v>
      </c>
      <c r="K9" s="28" t="s">
        <v>114</v>
      </c>
      <c r="L9" s="42" t="s">
        <v>18</v>
      </c>
      <c r="M9" s="28" t="s">
        <v>114</v>
      </c>
      <c r="N9" s="42" t="s">
        <v>92</v>
      </c>
      <c r="O9" s="42">
        <v>7</v>
      </c>
      <c r="P9" s="40"/>
      <c r="Q9" s="40"/>
      <c r="R9" s="40"/>
      <c r="S9" s="40"/>
    </row>
    <row r="10" spans="1:19" ht="30" x14ac:dyDescent="0.2">
      <c r="A10" s="40"/>
      <c r="B10" s="40"/>
      <c r="C10" s="40"/>
      <c r="E10" s="42"/>
      <c r="F10" s="42"/>
      <c r="G10" s="42"/>
      <c r="H10" s="42"/>
      <c r="I10" s="42"/>
      <c r="J10" s="27" t="s">
        <v>115</v>
      </c>
      <c r="K10" s="28" t="s">
        <v>116</v>
      </c>
      <c r="L10" s="42" t="s">
        <v>18</v>
      </c>
      <c r="M10" s="28" t="s">
        <v>116</v>
      </c>
      <c r="N10" s="42" t="s">
        <v>92</v>
      </c>
      <c r="O10" s="42">
        <v>8</v>
      </c>
      <c r="P10" s="40"/>
      <c r="Q10" s="40"/>
      <c r="R10" s="40"/>
      <c r="S10" s="40"/>
    </row>
    <row r="11" spans="1:19" ht="45" x14ac:dyDescent="0.2">
      <c r="A11" s="40"/>
      <c r="B11" s="40"/>
      <c r="C11" s="40"/>
      <c r="E11" s="42"/>
      <c r="F11" s="42"/>
      <c r="G11" s="42"/>
      <c r="H11" s="42"/>
      <c r="I11" s="42"/>
      <c r="J11" s="28" t="s">
        <v>117</v>
      </c>
      <c r="K11" s="28" t="s">
        <v>118</v>
      </c>
      <c r="L11" s="42" t="s">
        <v>18</v>
      </c>
      <c r="M11" s="28" t="s">
        <v>118</v>
      </c>
      <c r="N11" s="42" t="s">
        <v>92</v>
      </c>
      <c r="O11" s="42">
        <v>9</v>
      </c>
      <c r="P11" s="40"/>
      <c r="Q11" s="40"/>
      <c r="R11" s="40"/>
      <c r="S11" s="40"/>
    </row>
    <row r="12" spans="1:19" s="30" customFormat="1" ht="75" x14ac:dyDescent="0.2">
      <c r="A12" s="40"/>
      <c r="B12" s="40"/>
      <c r="C12" s="40"/>
      <c r="D12" s="25"/>
      <c r="E12" s="42"/>
      <c r="F12" s="42"/>
      <c r="G12" s="42"/>
      <c r="H12" s="42"/>
      <c r="I12" s="42"/>
      <c r="J12" s="28" t="s">
        <v>119</v>
      </c>
      <c r="K12" s="28" t="s">
        <v>120</v>
      </c>
      <c r="L12" s="42" t="s">
        <v>18</v>
      </c>
      <c r="M12" s="28" t="s">
        <v>120</v>
      </c>
      <c r="N12" s="42" t="s">
        <v>92</v>
      </c>
      <c r="O12" s="42">
        <v>10</v>
      </c>
      <c r="P12" s="40"/>
      <c r="Q12" s="40"/>
      <c r="R12" s="40"/>
      <c r="S12" s="40"/>
    </row>
    <row r="13" spans="1:19" s="30" customFormat="1" ht="45" x14ac:dyDescent="0.2">
      <c r="A13" s="40"/>
      <c r="B13" s="40"/>
      <c r="C13" s="40"/>
      <c r="D13" s="25"/>
      <c r="E13" s="42"/>
      <c r="F13" s="42"/>
      <c r="G13" s="42"/>
      <c r="H13" s="42"/>
      <c r="I13" s="42"/>
      <c r="J13" s="28" t="s">
        <v>121</v>
      </c>
      <c r="K13" s="28" t="s">
        <v>118</v>
      </c>
      <c r="L13" s="42" t="s">
        <v>18</v>
      </c>
      <c r="M13" s="28" t="s">
        <v>118</v>
      </c>
      <c r="N13" s="42" t="s">
        <v>92</v>
      </c>
      <c r="O13" s="42">
        <v>11</v>
      </c>
      <c r="P13" s="40"/>
      <c r="Q13" s="40"/>
      <c r="R13" s="40"/>
      <c r="S13" s="40"/>
    </row>
    <row r="14" spans="1:19" s="30" customFormat="1" ht="45" x14ac:dyDescent="0.2">
      <c r="A14" s="40"/>
      <c r="B14" s="40"/>
      <c r="C14" s="40"/>
      <c r="D14" s="25"/>
      <c r="E14" s="42"/>
      <c r="F14" s="42"/>
      <c r="G14" s="42"/>
      <c r="H14" s="42"/>
      <c r="I14" s="42"/>
      <c r="J14" s="28" t="s">
        <v>122</v>
      </c>
      <c r="K14" s="28" t="s">
        <v>123</v>
      </c>
      <c r="L14" s="42" t="s">
        <v>18</v>
      </c>
      <c r="M14" s="28" t="s">
        <v>123</v>
      </c>
      <c r="N14" s="42" t="s">
        <v>92</v>
      </c>
      <c r="O14" s="42">
        <v>12</v>
      </c>
      <c r="P14" s="40"/>
      <c r="Q14" s="40"/>
      <c r="R14" s="40"/>
      <c r="S14" s="40"/>
    </row>
    <row r="15" spans="1:19" s="30" customFormat="1" ht="60" x14ac:dyDescent="0.2">
      <c r="A15" s="40"/>
      <c r="B15" s="40"/>
      <c r="C15" s="40"/>
      <c r="D15" s="25"/>
      <c r="E15" s="42"/>
      <c r="F15" s="42"/>
      <c r="G15" s="42"/>
      <c r="H15" s="42"/>
      <c r="I15" s="42"/>
      <c r="J15" s="28" t="s">
        <v>124</v>
      </c>
      <c r="K15" s="28" t="s">
        <v>125</v>
      </c>
      <c r="L15" s="42" t="s">
        <v>18</v>
      </c>
      <c r="M15" s="28" t="s">
        <v>125</v>
      </c>
      <c r="N15" s="42" t="s">
        <v>92</v>
      </c>
      <c r="O15" s="42">
        <v>13</v>
      </c>
      <c r="P15" s="40"/>
      <c r="Q15" s="40"/>
      <c r="R15" s="40"/>
      <c r="S15" s="40"/>
    </row>
    <row r="16" spans="1:19" s="30" customFormat="1" ht="45" x14ac:dyDescent="0.2">
      <c r="A16" s="40"/>
      <c r="B16" s="40"/>
      <c r="C16" s="40"/>
      <c r="D16" s="25"/>
      <c r="E16" s="42"/>
      <c r="F16" s="42"/>
      <c r="G16" s="42"/>
      <c r="H16" s="42"/>
      <c r="I16" s="42"/>
      <c r="J16" s="28" t="s">
        <v>126</v>
      </c>
      <c r="K16" s="28" t="s">
        <v>127</v>
      </c>
      <c r="L16" s="42" t="s">
        <v>18</v>
      </c>
      <c r="M16" s="28" t="s">
        <v>127</v>
      </c>
      <c r="N16" s="42" t="s">
        <v>92</v>
      </c>
      <c r="O16" s="42">
        <v>14</v>
      </c>
      <c r="P16" s="40"/>
      <c r="Q16" s="40"/>
      <c r="R16" s="40"/>
      <c r="S16" s="40"/>
    </row>
    <row r="17" spans="1:19" s="30" customFormat="1" ht="45" x14ac:dyDescent="0.2">
      <c r="A17" s="40"/>
      <c r="B17" s="40"/>
      <c r="C17" s="40"/>
      <c r="D17" s="25"/>
      <c r="E17" s="42"/>
      <c r="F17" s="42"/>
      <c r="G17" s="42"/>
      <c r="H17" s="42"/>
      <c r="I17" s="42"/>
      <c r="J17" s="28" t="s">
        <v>128</v>
      </c>
      <c r="K17" s="28" t="s">
        <v>129</v>
      </c>
      <c r="L17" s="42" t="s">
        <v>18</v>
      </c>
      <c r="M17" s="28" t="s">
        <v>129</v>
      </c>
      <c r="N17" s="42" t="s">
        <v>92</v>
      </c>
      <c r="O17" s="42">
        <v>15</v>
      </c>
      <c r="P17" s="40"/>
      <c r="Q17" s="40"/>
      <c r="R17" s="40"/>
      <c r="S17" s="40"/>
    </row>
    <row r="18" spans="1:19" ht="75" x14ac:dyDescent="0.2">
      <c r="A18" s="40"/>
      <c r="B18" s="40"/>
      <c r="C18" s="40"/>
      <c r="E18" s="42"/>
      <c r="F18" s="42"/>
      <c r="G18" s="42"/>
      <c r="H18" s="42"/>
      <c r="I18" s="42"/>
      <c r="J18" s="28" t="s">
        <v>130</v>
      </c>
      <c r="K18" s="28" t="s">
        <v>131</v>
      </c>
      <c r="L18" s="42" t="s">
        <v>18</v>
      </c>
      <c r="M18" s="28" t="s">
        <v>131</v>
      </c>
      <c r="N18" s="42" t="s">
        <v>92</v>
      </c>
      <c r="O18" s="42">
        <v>16</v>
      </c>
      <c r="P18" s="40"/>
      <c r="Q18" s="40"/>
      <c r="R18" s="40"/>
      <c r="S18" s="40"/>
    </row>
    <row r="19" spans="1:19" ht="30" x14ac:dyDescent="0.2">
      <c r="A19" s="40"/>
      <c r="B19" s="40"/>
      <c r="C19" s="40"/>
      <c r="E19" s="42"/>
      <c r="F19" s="42"/>
      <c r="G19" s="42"/>
      <c r="H19" s="42"/>
      <c r="I19" s="42"/>
      <c r="J19" s="27" t="s">
        <v>132</v>
      </c>
      <c r="K19" s="28" t="s">
        <v>133</v>
      </c>
      <c r="L19" s="42" t="s">
        <v>18</v>
      </c>
      <c r="M19" s="28" t="s">
        <v>133</v>
      </c>
      <c r="N19" s="42" t="s">
        <v>92</v>
      </c>
      <c r="O19" s="42">
        <v>17</v>
      </c>
      <c r="P19" s="40"/>
      <c r="Q19" s="40"/>
      <c r="R19" s="40"/>
      <c r="S19" s="40"/>
    </row>
    <row r="20" spans="1:19" ht="60" x14ac:dyDescent="0.2">
      <c r="E20" s="42"/>
      <c r="F20" s="42"/>
      <c r="G20" s="42"/>
      <c r="H20" s="42"/>
      <c r="I20" s="42"/>
      <c r="J20" s="28" t="s">
        <v>134</v>
      </c>
      <c r="K20" s="28" t="s">
        <v>135</v>
      </c>
      <c r="L20" s="42" t="s">
        <v>18</v>
      </c>
      <c r="M20" s="28" t="s">
        <v>135</v>
      </c>
      <c r="N20" s="42" t="s">
        <v>92</v>
      </c>
      <c r="O20" s="42">
        <v>18</v>
      </c>
    </row>
    <row r="21" spans="1:19" ht="45" x14ac:dyDescent="0.2">
      <c r="E21" s="42"/>
      <c r="F21" s="42"/>
      <c r="G21" s="42"/>
      <c r="H21" s="42"/>
      <c r="I21" s="42"/>
      <c r="J21" s="28" t="s">
        <v>136</v>
      </c>
      <c r="K21" s="28" t="s">
        <v>129</v>
      </c>
      <c r="L21" s="42" t="s">
        <v>18</v>
      </c>
      <c r="M21" s="28" t="s">
        <v>129</v>
      </c>
      <c r="N21" s="42" t="s">
        <v>92</v>
      </c>
      <c r="O21" s="42">
        <v>19</v>
      </c>
    </row>
    <row r="22" spans="1:19" ht="105" x14ac:dyDescent="0.2">
      <c r="E22" s="42"/>
      <c r="F22" s="42"/>
      <c r="G22" s="42"/>
      <c r="H22" s="42"/>
      <c r="I22" s="42"/>
      <c r="J22" s="28" t="s">
        <v>130</v>
      </c>
      <c r="K22" s="28" t="s">
        <v>137</v>
      </c>
      <c r="L22" s="42" t="s">
        <v>18</v>
      </c>
      <c r="M22" s="28" t="s">
        <v>137</v>
      </c>
      <c r="N22" s="42" t="s">
        <v>92</v>
      </c>
      <c r="O22" s="42">
        <v>20</v>
      </c>
    </row>
    <row r="23" spans="1:19" ht="30" x14ac:dyDescent="0.2">
      <c r="E23" s="42"/>
      <c r="F23" s="42"/>
      <c r="G23" s="42"/>
      <c r="H23" s="42"/>
      <c r="I23" s="42"/>
      <c r="J23" s="27" t="s">
        <v>132</v>
      </c>
      <c r="K23" s="28" t="s">
        <v>138</v>
      </c>
      <c r="L23" s="42" t="s">
        <v>18</v>
      </c>
      <c r="M23" s="28" t="s">
        <v>138</v>
      </c>
      <c r="N23" s="42" t="s">
        <v>92</v>
      </c>
      <c r="O23" s="42">
        <v>21</v>
      </c>
    </row>
    <row r="24" spans="1:19" ht="45" x14ac:dyDescent="0.2">
      <c r="E24" s="42"/>
      <c r="F24" s="42"/>
      <c r="G24" s="42"/>
      <c r="H24" s="42"/>
      <c r="I24" s="42"/>
      <c r="J24" s="28" t="s">
        <v>139</v>
      </c>
      <c r="K24" s="28" t="s">
        <v>140</v>
      </c>
      <c r="L24" s="42" t="s">
        <v>18</v>
      </c>
      <c r="M24" s="28" t="s">
        <v>140</v>
      </c>
      <c r="N24" s="42" t="s">
        <v>92</v>
      </c>
      <c r="O24" s="42">
        <v>22</v>
      </c>
    </row>
    <row r="25" spans="1:19" ht="30" x14ac:dyDescent="0.2">
      <c r="E25" s="42"/>
      <c r="F25" s="42"/>
      <c r="G25" s="42"/>
      <c r="H25" s="42"/>
      <c r="I25" s="42"/>
      <c r="J25" s="28" t="s">
        <v>141</v>
      </c>
      <c r="K25" s="28" t="s">
        <v>142</v>
      </c>
      <c r="L25" s="42" t="s">
        <v>18</v>
      </c>
      <c r="M25" s="28" t="s">
        <v>142</v>
      </c>
      <c r="N25" s="42" t="s">
        <v>92</v>
      </c>
      <c r="O25" s="42">
        <v>23</v>
      </c>
    </row>
    <row r="26" spans="1:19" ht="30" x14ac:dyDescent="0.2">
      <c r="E26" s="42"/>
      <c r="F26" s="42"/>
      <c r="G26" s="42"/>
      <c r="H26" s="42"/>
      <c r="I26" s="42"/>
      <c r="J26" s="28" t="s">
        <v>143</v>
      </c>
      <c r="K26" s="28" t="s">
        <v>144</v>
      </c>
      <c r="L26" s="42" t="s">
        <v>18</v>
      </c>
      <c r="M26" s="28" t="s">
        <v>144</v>
      </c>
      <c r="N26" s="42" t="s">
        <v>92</v>
      </c>
      <c r="O26" s="42">
        <v>24</v>
      </c>
    </row>
    <row r="27" spans="1:19" ht="45" x14ac:dyDescent="0.2">
      <c r="E27" s="42"/>
      <c r="F27" s="26"/>
      <c r="G27" s="42"/>
      <c r="H27" s="42"/>
      <c r="I27" s="24"/>
      <c r="J27" s="28" t="s">
        <v>145</v>
      </c>
      <c r="K27" s="28" t="s">
        <v>146</v>
      </c>
      <c r="L27" s="42" t="s">
        <v>18</v>
      </c>
      <c r="M27" s="28" t="s">
        <v>146</v>
      </c>
      <c r="N27" s="42" t="s">
        <v>92</v>
      </c>
      <c r="O27" s="42">
        <v>25</v>
      </c>
    </row>
    <row r="28" spans="1:19" ht="75" x14ac:dyDescent="0.2">
      <c r="E28" s="42"/>
      <c r="F28" s="42"/>
      <c r="G28" s="42"/>
      <c r="H28" s="42"/>
      <c r="I28" s="42"/>
      <c r="J28" s="27" t="s">
        <v>147</v>
      </c>
      <c r="K28" s="28" t="s">
        <v>148</v>
      </c>
      <c r="L28" s="42" t="s">
        <v>18</v>
      </c>
      <c r="M28" s="28" t="s">
        <v>148</v>
      </c>
      <c r="N28" s="42" t="s">
        <v>92</v>
      </c>
      <c r="O28" s="42">
        <v>26</v>
      </c>
    </row>
    <row r="29" spans="1:19" ht="45" x14ac:dyDescent="0.2">
      <c r="E29" s="42"/>
      <c r="F29" s="42"/>
      <c r="G29" s="42"/>
      <c r="H29" s="42"/>
      <c r="I29" s="42"/>
      <c r="J29" s="27" t="s">
        <v>149</v>
      </c>
      <c r="K29" s="28" t="s">
        <v>150</v>
      </c>
      <c r="L29" s="42" t="s">
        <v>18</v>
      </c>
      <c r="M29" s="28" t="s">
        <v>150</v>
      </c>
      <c r="N29" s="42" t="s">
        <v>92</v>
      </c>
      <c r="O29" s="42">
        <v>27</v>
      </c>
    </row>
    <row r="30" spans="1:19" ht="30" x14ac:dyDescent="0.2">
      <c r="E30" s="42"/>
      <c r="F30" s="42"/>
      <c r="G30" s="42"/>
      <c r="H30" s="42"/>
      <c r="I30" s="42"/>
      <c r="J30" s="43" t="s">
        <v>151</v>
      </c>
      <c r="K30" s="28" t="s">
        <v>152</v>
      </c>
      <c r="L30" s="42" t="s">
        <v>18</v>
      </c>
      <c r="M30" s="28" t="s">
        <v>152</v>
      </c>
      <c r="N30" s="42" t="s">
        <v>92</v>
      </c>
      <c r="O30" s="42">
        <v>28</v>
      </c>
    </row>
    <row r="31" spans="1:19" ht="90" x14ac:dyDescent="0.2">
      <c r="E31" s="42"/>
      <c r="F31" s="42"/>
      <c r="G31" s="42"/>
      <c r="H31" s="42"/>
      <c r="I31" s="42"/>
      <c r="J31" s="27" t="s">
        <v>153</v>
      </c>
      <c r="K31" s="28" t="s">
        <v>154</v>
      </c>
      <c r="L31" s="42" t="s">
        <v>18</v>
      </c>
      <c r="M31" s="28" t="s">
        <v>154</v>
      </c>
      <c r="N31" s="42" t="s">
        <v>92</v>
      </c>
      <c r="O31" s="42">
        <v>29</v>
      </c>
    </row>
    <row r="32" spans="1:19" ht="90" x14ac:dyDescent="0.2">
      <c r="E32" s="42"/>
      <c r="F32" s="42"/>
      <c r="G32" s="42"/>
      <c r="H32" s="42"/>
      <c r="I32" s="42"/>
      <c r="J32" s="27" t="s">
        <v>155</v>
      </c>
      <c r="K32" s="28" t="s">
        <v>156</v>
      </c>
      <c r="L32" s="42" t="s">
        <v>18</v>
      </c>
      <c r="M32" s="28" t="s">
        <v>156</v>
      </c>
      <c r="N32" s="42" t="s">
        <v>92</v>
      </c>
      <c r="O32" s="42">
        <v>30</v>
      </c>
    </row>
    <row r="33" spans="5:15" ht="30" x14ac:dyDescent="0.2">
      <c r="E33" s="42"/>
      <c r="F33" s="42"/>
      <c r="G33" s="42"/>
      <c r="H33" s="42"/>
      <c r="I33" s="42"/>
      <c r="J33" s="27" t="s">
        <v>157</v>
      </c>
      <c r="K33" s="28" t="s">
        <v>158</v>
      </c>
      <c r="L33" s="42" t="s">
        <v>18</v>
      </c>
      <c r="M33" s="28" t="s">
        <v>158</v>
      </c>
      <c r="N33" s="42" t="s">
        <v>92</v>
      </c>
      <c r="O33" s="42">
        <v>31</v>
      </c>
    </row>
    <row r="34" spans="5:15" ht="45" x14ac:dyDescent="0.2">
      <c r="E34" s="42"/>
      <c r="F34" s="42"/>
      <c r="G34" s="42"/>
      <c r="H34" s="42"/>
      <c r="I34" s="42"/>
      <c r="J34" s="27" t="s">
        <v>159</v>
      </c>
      <c r="K34" s="28" t="s">
        <v>160</v>
      </c>
      <c r="L34" s="42" t="s">
        <v>18</v>
      </c>
      <c r="M34" s="28" t="s">
        <v>160</v>
      </c>
      <c r="N34" s="42" t="s">
        <v>92</v>
      </c>
      <c r="O34" s="42">
        <v>32</v>
      </c>
    </row>
    <row r="35" spans="5:15" ht="76.5" x14ac:dyDescent="0.2">
      <c r="E35" s="42"/>
      <c r="F35" s="42"/>
      <c r="G35" s="42"/>
      <c r="H35" s="42"/>
      <c r="I35" s="42"/>
      <c r="J35" s="37" t="s">
        <v>161</v>
      </c>
      <c r="K35" s="37" t="s">
        <v>162</v>
      </c>
      <c r="L35" s="3" t="s">
        <v>18</v>
      </c>
      <c r="M35" s="37" t="s">
        <v>162</v>
      </c>
      <c r="N35" s="42" t="s">
        <v>92</v>
      </c>
      <c r="O35" s="42">
        <v>33</v>
      </c>
    </row>
    <row r="36" spans="5:15" ht="51" x14ac:dyDescent="0.2">
      <c r="E36" s="42"/>
      <c r="F36" s="42"/>
      <c r="G36" s="42"/>
      <c r="H36" s="42"/>
      <c r="I36" s="42"/>
      <c r="J36" s="37" t="s">
        <v>163</v>
      </c>
      <c r="K36" s="37" t="s">
        <v>164</v>
      </c>
      <c r="L36" s="3" t="s">
        <v>18</v>
      </c>
      <c r="M36" s="37" t="s">
        <v>164</v>
      </c>
      <c r="N36" s="42" t="s">
        <v>92</v>
      </c>
      <c r="O36" s="42">
        <v>34</v>
      </c>
    </row>
    <row r="37" spans="5:15" ht="76.5" x14ac:dyDescent="0.2">
      <c r="E37" s="42"/>
      <c r="F37" s="42"/>
      <c r="G37" s="42"/>
      <c r="H37" s="42"/>
      <c r="I37" s="42"/>
      <c r="J37" s="37" t="s">
        <v>165</v>
      </c>
      <c r="K37" s="37" t="s">
        <v>166</v>
      </c>
      <c r="L37" s="3" t="s">
        <v>18</v>
      </c>
      <c r="M37" s="37" t="s">
        <v>166</v>
      </c>
      <c r="N37" s="42" t="s">
        <v>92</v>
      </c>
      <c r="O37" s="42">
        <v>35</v>
      </c>
    </row>
    <row r="38" spans="5:15" ht="76.5" x14ac:dyDescent="0.2">
      <c r="E38" s="42"/>
      <c r="F38" s="42"/>
      <c r="G38" s="42"/>
      <c r="H38" s="42"/>
      <c r="I38" s="42"/>
      <c r="J38" s="37" t="s">
        <v>167</v>
      </c>
      <c r="K38" s="37" t="s">
        <v>168</v>
      </c>
      <c r="L38" s="3" t="s">
        <v>18</v>
      </c>
      <c r="M38" s="37" t="s">
        <v>168</v>
      </c>
      <c r="N38" s="42" t="s">
        <v>92</v>
      </c>
      <c r="O38" s="42">
        <v>36</v>
      </c>
    </row>
    <row r="39" spans="5:15" ht="89.25" x14ac:dyDescent="0.2">
      <c r="E39" s="42"/>
      <c r="F39" s="42"/>
      <c r="G39" s="42"/>
      <c r="H39" s="42"/>
      <c r="I39" s="42"/>
      <c r="J39" s="37" t="s">
        <v>169</v>
      </c>
      <c r="K39" s="37" t="s">
        <v>170</v>
      </c>
      <c r="L39" s="3" t="s">
        <v>18</v>
      </c>
      <c r="M39" s="37" t="s">
        <v>170</v>
      </c>
      <c r="N39" s="42" t="s">
        <v>92</v>
      </c>
      <c r="O39" s="42">
        <v>37</v>
      </c>
    </row>
    <row r="40" spans="5:15" ht="76.5" x14ac:dyDescent="0.2">
      <c r="E40" s="42"/>
      <c r="F40" s="42"/>
      <c r="G40" s="42"/>
      <c r="H40" s="42"/>
      <c r="I40" s="42"/>
      <c r="J40" s="37" t="s">
        <v>171</v>
      </c>
      <c r="K40" s="37" t="s">
        <v>172</v>
      </c>
      <c r="L40" s="3" t="s">
        <v>18</v>
      </c>
      <c r="M40" s="37" t="s">
        <v>172</v>
      </c>
      <c r="N40" s="42" t="s">
        <v>92</v>
      </c>
      <c r="O40" s="42">
        <v>38</v>
      </c>
    </row>
    <row r="41" spans="5:15" ht="51" x14ac:dyDescent="0.2">
      <c r="E41" s="42"/>
      <c r="F41" s="42"/>
      <c r="G41" s="42"/>
      <c r="H41" s="42"/>
      <c r="I41" s="42"/>
      <c r="J41" s="37" t="s">
        <v>173</v>
      </c>
      <c r="K41" s="37" t="s">
        <v>174</v>
      </c>
      <c r="L41" s="3" t="s">
        <v>18</v>
      </c>
      <c r="M41" s="37" t="s">
        <v>174</v>
      </c>
      <c r="N41" s="42" t="s">
        <v>92</v>
      </c>
      <c r="O41" s="42">
        <v>39</v>
      </c>
    </row>
    <row r="42" spans="5:15" x14ac:dyDescent="0.2">
      <c r="J42" s="28"/>
      <c r="K42" s="28"/>
      <c r="M42" s="28"/>
      <c r="N42" s="32"/>
      <c r="O42" s="38"/>
    </row>
    <row r="43" spans="5:15" x14ac:dyDescent="0.2">
      <c r="J43" s="28"/>
      <c r="K43" s="28"/>
      <c r="M43" s="28"/>
      <c r="N43" s="32"/>
      <c r="O43" s="38"/>
    </row>
    <row r="44" spans="5:15" x14ac:dyDescent="0.2">
      <c r="F44" s="26"/>
      <c r="I44" s="24"/>
      <c r="J44" s="28"/>
      <c r="K44" s="28"/>
      <c r="M44" s="28"/>
      <c r="N44" s="32"/>
      <c r="O44" s="38"/>
    </row>
    <row r="45" spans="5:15" x14ac:dyDescent="0.2">
      <c r="J45" s="27"/>
      <c r="K45" s="28"/>
      <c r="M45" s="28"/>
      <c r="N45" s="32"/>
      <c r="O45" s="38"/>
    </row>
    <row r="46" spans="5:15" x14ac:dyDescent="0.2">
      <c r="J46" s="27"/>
      <c r="K46" s="28"/>
      <c r="M46" s="28"/>
      <c r="N46" s="32"/>
      <c r="O46" s="38"/>
    </row>
    <row r="47" spans="5:15" x14ac:dyDescent="0.2">
      <c r="J47" s="31"/>
      <c r="K47" s="28"/>
      <c r="M47" s="28"/>
      <c r="N47" s="32"/>
      <c r="O47" s="38"/>
    </row>
    <row r="48" spans="5:15" x14ac:dyDescent="0.2">
      <c r="J48" s="27"/>
      <c r="K48" s="28"/>
      <c r="M48" s="28"/>
      <c r="N48" s="32"/>
      <c r="O48" s="38"/>
    </row>
    <row r="49" spans="10:15" x14ac:dyDescent="0.2">
      <c r="J49" s="27"/>
      <c r="K49" s="28"/>
      <c r="M49" s="28"/>
      <c r="N49" s="32"/>
      <c r="O49" s="38"/>
    </row>
    <row r="50" spans="10:15" x14ac:dyDescent="0.2">
      <c r="J50" s="27"/>
      <c r="K50" s="28"/>
      <c r="M50" s="28"/>
      <c r="N50" s="32"/>
      <c r="O50" s="38"/>
    </row>
    <row r="51" spans="10:15" x14ac:dyDescent="0.2">
      <c r="J51" s="27"/>
      <c r="K51" s="28"/>
      <c r="M51" s="28"/>
      <c r="N51" s="32"/>
      <c r="O51" s="38"/>
    </row>
    <row r="52" spans="10:15" x14ac:dyDescent="0.2">
      <c r="J52" s="37"/>
      <c r="K52" s="37"/>
      <c r="L52" s="3"/>
      <c r="M52" s="37"/>
      <c r="N52" s="32"/>
      <c r="O52" s="38"/>
    </row>
    <row r="53" spans="10:15" x14ac:dyDescent="0.2">
      <c r="J53" s="37"/>
      <c r="K53" s="37"/>
      <c r="L53" s="3"/>
      <c r="M53" s="37"/>
      <c r="N53" s="32"/>
      <c r="O53" s="38"/>
    </row>
    <row r="54" spans="10:15" x14ac:dyDescent="0.2">
      <c r="J54" s="37"/>
      <c r="K54" s="37"/>
      <c r="L54" s="3"/>
      <c r="M54" s="37"/>
      <c r="N54" s="32"/>
      <c r="O54" s="38"/>
    </row>
    <row r="55" spans="10:15" x14ac:dyDescent="0.2">
      <c r="J55" s="37"/>
      <c r="K55" s="37"/>
      <c r="L55" s="3"/>
      <c r="M55" s="37"/>
      <c r="N55" s="32"/>
      <c r="O55" s="38"/>
    </row>
    <row r="56" spans="10:15" x14ac:dyDescent="0.2">
      <c r="J56" s="37"/>
      <c r="K56" s="37"/>
      <c r="L56" s="3"/>
      <c r="M56" s="37"/>
      <c r="N56" s="32"/>
      <c r="O56" s="38"/>
    </row>
    <row r="57" spans="10:15" x14ac:dyDescent="0.2">
      <c r="J57" s="37"/>
      <c r="K57" s="37"/>
      <c r="L57" s="3"/>
      <c r="M57" s="37"/>
      <c r="N57" s="32"/>
      <c r="O57" s="38"/>
    </row>
    <row r="58" spans="10:15" x14ac:dyDescent="0.2">
      <c r="J58" s="37"/>
      <c r="K58" s="37"/>
      <c r="L58" s="3"/>
      <c r="M58" s="37"/>
      <c r="N58" s="32"/>
      <c r="O58" s="38"/>
    </row>
    <row r="59" spans="10:15" x14ac:dyDescent="0.2">
      <c r="J59" s="28"/>
      <c r="K59" s="28"/>
    </row>
    <row r="60" spans="10:15" x14ac:dyDescent="0.2">
      <c r="J60" s="18"/>
      <c r="K60" s="28"/>
    </row>
    <row r="61" spans="10:15" x14ac:dyDescent="0.2">
      <c r="J61" s="29"/>
      <c r="K61" s="29"/>
    </row>
    <row r="62" spans="10:15" x14ac:dyDescent="0.2">
      <c r="J62" s="29"/>
      <c r="K62" s="29"/>
    </row>
    <row r="63" spans="10:15" x14ac:dyDescent="0.2">
      <c r="J63" s="29"/>
      <c r="K63" s="29"/>
    </row>
    <row r="64" spans="10:15" x14ac:dyDescent="0.2">
      <c r="J64" s="29"/>
      <c r="K64" s="29"/>
    </row>
    <row r="65" spans="10:11" x14ac:dyDescent="0.2">
      <c r="J65" s="29"/>
      <c r="K65" s="29"/>
    </row>
    <row r="66" spans="10:11" x14ac:dyDescent="0.2">
      <c r="J66" s="29"/>
      <c r="K66" s="29"/>
    </row>
    <row r="67" spans="10:11" x14ac:dyDescent="0.2">
      <c r="J67" s="29"/>
      <c r="K67" s="29"/>
    </row>
    <row r="68" spans="10:11" x14ac:dyDescent="0.2">
      <c r="J68" s="29"/>
      <c r="K68" s="29"/>
    </row>
    <row r="69" spans="10:11" x14ac:dyDescent="0.2">
      <c r="J69" s="29"/>
      <c r="K69" s="29"/>
    </row>
    <row r="70" spans="10:11" x14ac:dyDescent="0.2">
      <c r="J70" s="29"/>
      <c r="K70" s="29"/>
    </row>
    <row r="71" spans="10:11" x14ac:dyDescent="0.2">
      <c r="J71" s="28"/>
      <c r="K71" s="28"/>
    </row>
    <row r="72" spans="10:11" x14ac:dyDescent="0.2">
      <c r="J72" s="28"/>
      <c r="K72" s="28"/>
    </row>
    <row r="73" spans="10:11" x14ac:dyDescent="0.2">
      <c r="J73" s="28"/>
      <c r="K73" s="28"/>
    </row>
    <row r="74" spans="10:11" x14ac:dyDescent="0.2">
      <c r="J74" s="28"/>
      <c r="K74" s="28"/>
    </row>
    <row r="75" spans="10:11" x14ac:dyDescent="0.2">
      <c r="J75" s="29"/>
      <c r="K75" s="29"/>
    </row>
  </sheetData>
  <mergeCells count="2">
    <mergeCell ref="A1:C1"/>
    <mergeCell ref="D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Requirements</vt:lpstr>
      <vt:lpstr>4487</vt:lpstr>
      <vt:lpstr>4386</vt:lpstr>
      <vt:lpstr>TestCases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sridarr</dc:creator>
  <cp:lastModifiedBy>Anand R.</cp:lastModifiedBy>
  <dcterms:created xsi:type="dcterms:W3CDTF">2012-12-13T01:58:46Z</dcterms:created>
  <dcterms:modified xsi:type="dcterms:W3CDTF">2018-01-25T04:40:13Z</dcterms:modified>
</cp:coreProperties>
</file>